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sifu project\"/>
    </mc:Choice>
  </mc:AlternateContent>
  <xr:revisionPtr revIDLastSave="0" documentId="8_{FDAFD1B6-1BC4-4622-9473-4EA76069E6B5}" xr6:coauthVersionLast="47" xr6:coauthVersionMax="47" xr10:uidLastSave="{00000000-0000-0000-0000-000000000000}"/>
  <bookViews>
    <workbookView xWindow="-110" yWindow="-110" windowWidth="19420" windowHeight="11500" activeTab="5" xr2:uid="{00000000-000D-0000-FFFF-FFFF00000000}"/>
  </bookViews>
  <sheets>
    <sheet name="Welcome" sheetId="7" r:id="rId1"/>
    <sheet name="DASHBOARD" sheetId="5" r:id="rId2"/>
    <sheet name="Dataset" sheetId="1" r:id="rId3"/>
    <sheet name="KPI'S" sheetId="3" r:id="rId4"/>
    <sheet name="PivotTables" sheetId="4" r:id="rId5"/>
    <sheet name="Info" sheetId="6" r:id="rId6"/>
  </sheets>
  <definedNames>
    <definedName name="_xlnm._FilterDatabase" localSheetId="3" hidden="1">'KPI''S'!$E$3:$H$4</definedName>
    <definedName name="Slicer_Product_Category">#N/A</definedName>
    <definedName name="Slicer_Product_Name">#N/A</definedName>
    <definedName name="Slicer_State">#N/A</definedName>
  </definedNames>
  <calcPr calcId="191029"/>
  <pivotCaches>
    <pivotCache cacheId="2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3" l="1"/>
  <c r="E4" i="3"/>
  <c r="F4" i="3"/>
  <c r="G4" i="3" l="1"/>
</calcChain>
</file>

<file path=xl/sharedStrings.xml><?xml version="1.0" encoding="utf-8"?>
<sst xmlns="http://schemas.openxmlformats.org/spreadsheetml/2006/main" count="14860" uniqueCount="76">
  <si>
    <t>Date</t>
  </si>
  <si>
    <t>State</t>
  </si>
  <si>
    <t>Region</t>
  </si>
  <si>
    <t>Product Category</t>
  </si>
  <si>
    <t>Brand</t>
  </si>
  <si>
    <t>Product Name</t>
  </si>
  <si>
    <t>Units Sold</t>
  </si>
  <si>
    <t>Unit Price (₹)</t>
  </si>
  <si>
    <t>Revenue (₹)</t>
  </si>
  <si>
    <t>Channel</t>
  </si>
  <si>
    <t>2024-01-01</t>
  </si>
  <si>
    <t>Delhi</t>
  </si>
  <si>
    <t>North</t>
  </si>
  <si>
    <t>Biscuits</t>
  </si>
  <si>
    <t>Sunfeast</t>
  </si>
  <si>
    <t>Marie Light</t>
  </si>
  <si>
    <t>E-commerce</t>
  </si>
  <si>
    <t>Farmlite Oats Digestive</t>
  </si>
  <si>
    <t>Retail</t>
  </si>
  <si>
    <t>Dark Fantasy Choco Fills</t>
  </si>
  <si>
    <t>All Rounder Masala</t>
  </si>
  <si>
    <t>Wholesale</t>
  </si>
  <si>
    <t>Candies</t>
  </si>
  <si>
    <t>Candyman</t>
  </si>
  <si>
    <t>Fruitee Fun (Mango)</t>
  </si>
  <si>
    <t>Fruitee Fun (Orange)</t>
  </si>
  <si>
    <t>Fantastik Éclairs</t>
  </si>
  <si>
    <t>Mint-O</t>
  </si>
  <si>
    <t>Mint-O Fresh</t>
  </si>
  <si>
    <t>Haryana</t>
  </si>
  <si>
    <t>Punjab</t>
  </si>
  <si>
    <t>Uttar Pradesh</t>
  </si>
  <si>
    <t>Uttarakhand</t>
  </si>
  <si>
    <t>Himachal Pradesh</t>
  </si>
  <si>
    <t>Jammu &amp; Kashmir</t>
  </si>
  <si>
    <t>Karnataka</t>
  </si>
  <si>
    <t>South</t>
  </si>
  <si>
    <t>Kerala</t>
  </si>
  <si>
    <t>Tamil Nadu</t>
  </si>
  <si>
    <t>Andhra Pradesh</t>
  </si>
  <si>
    <t>Telangana</t>
  </si>
  <si>
    <t>West Bengal</t>
  </si>
  <si>
    <t>East</t>
  </si>
  <si>
    <t>Odisha</t>
  </si>
  <si>
    <t>Bihar</t>
  </si>
  <si>
    <t>Jharkhand</t>
  </si>
  <si>
    <t>Assam</t>
  </si>
  <si>
    <t>Maharashtra</t>
  </si>
  <si>
    <t>West</t>
  </si>
  <si>
    <t>Gujarat</t>
  </si>
  <si>
    <t>Rajasthan</t>
  </si>
  <si>
    <t>Madhya Pradesh</t>
  </si>
  <si>
    <t>Goa</t>
  </si>
  <si>
    <t>2024-02-01</t>
  </si>
  <si>
    <t>2024-03-01</t>
  </si>
  <si>
    <t>2024-04-01</t>
  </si>
  <si>
    <t>2024-05-01</t>
  </si>
  <si>
    <t>2024-06-01</t>
  </si>
  <si>
    <t>2024-07-01</t>
  </si>
  <si>
    <t>2024-08-01</t>
  </si>
  <si>
    <t>2024-09-01</t>
  </si>
  <si>
    <t>2024-10-01</t>
  </si>
  <si>
    <t>2024-11-01</t>
  </si>
  <si>
    <t>2024-12-01</t>
  </si>
  <si>
    <t>SUM OF UNIT SOLD</t>
  </si>
  <si>
    <t>TOTAL REVENUE</t>
  </si>
  <si>
    <t>Average Selling Price</t>
  </si>
  <si>
    <t>Grand Total</t>
  </si>
  <si>
    <t>Sum of Revenue (₹)</t>
  </si>
  <si>
    <t>Total</t>
  </si>
  <si>
    <t>Grand Total By Brand</t>
  </si>
  <si>
    <t>Region wise Revenue</t>
  </si>
  <si>
    <t>Month wise Revenue</t>
  </si>
  <si>
    <t>TOP PRODUCT</t>
  </si>
  <si>
    <t>(All)</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</si>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</sst>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39]#,##0.00"/>
    <numFmt numFmtId="165" formatCode="\₹0,,&quot;M&quot;"/>
    <numFmt numFmtId="166" formatCode="0,\ &quot;K&quot;"/>
  </numFmts>
  <fonts count="4" x14ac:knownFonts="1">
    <font>
      <sz val="11"/>
      <color theme="1"/>
      <name val="Calibri"/>
      <family val="2"/>
      <scheme val="minor"/>
    </font>
    <font>
      <b/>
      <sz val="11"/>
      <name val="Calibri"/>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003366"/>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0" borderId="2" xfId="0" applyFont="1" applyBorder="1" applyAlignment="1">
      <alignment horizontal="center" vertical="top"/>
    </xf>
    <xf numFmtId="0" fontId="0" fillId="2" borderId="0" xfId="0" applyFill="1"/>
    <xf numFmtId="0" fontId="2" fillId="0" borderId="1" xfId="0" applyFont="1" applyBorder="1" applyAlignment="1">
      <alignment horizontal="center"/>
    </xf>
    <xf numFmtId="164" fontId="0" fillId="0" borderId="1" xfId="0" applyNumberFormat="1" applyBorder="1" applyAlignment="1">
      <alignment horizontal="center"/>
    </xf>
    <xf numFmtId="0" fontId="0" fillId="0" borderId="0" xfId="0" pivotButton="1"/>
    <xf numFmtId="10" fontId="0" fillId="0" borderId="0" xfId="0" applyNumberFormat="1"/>
    <xf numFmtId="0" fontId="0" fillId="0" borderId="1" xfId="0" applyBorder="1"/>
    <xf numFmtId="0" fontId="0" fillId="2" borderId="0" xfId="0" applyFill="1" applyAlignment="1">
      <alignment horizontal="left" indent="2"/>
    </xf>
    <xf numFmtId="165" fontId="0" fillId="0" borderId="0" xfId="0" applyNumberFormat="1"/>
    <xf numFmtId="1" fontId="0" fillId="0" borderId="0" xfId="0" applyNumberFormat="1"/>
    <xf numFmtId="0" fontId="3" fillId="2" borderId="0" xfId="1" applyFill="1"/>
    <xf numFmtId="166" fontId="0" fillId="0" borderId="0" xfId="0" applyNumberFormat="1"/>
    <xf numFmtId="166" fontId="0" fillId="0" borderId="1" xfId="0" applyNumberFormat="1" applyBorder="1" applyAlignment="1">
      <alignment horizontal="center"/>
    </xf>
  </cellXfs>
  <cellStyles count="2">
    <cellStyle name="Hyperlink" xfId="1" builtinId="8"/>
    <cellStyle name="Normal" xfId="0" builtinId="0"/>
  </cellStyles>
  <dxfs count="19">
    <dxf>
      <numFmt numFmtId="165" formatCode="\₹0,,&quot;M&quot;"/>
    </dxf>
    <dxf>
      <numFmt numFmtId="165" formatCode="\₹0,,&quot;M&quot;"/>
    </dxf>
    <dxf>
      <numFmt numFmtId="165" formatCode="\₹0,,&quot;M&quot;"/>
    </dxf>
    <dxf>
      <numFmt numFmtId="166" formatCode="0,\ &quot;K&quot;"/>
    </dxf>
    <dxf>
      <numFmt numFmtId="165" formatCode="\₹0,,&quot;M&quot;"/>
    </dxf>
    <dxf>
      <numFmt numFmtId="166" formatCode="0,\ &quot;K&quot;"/>
    </dxf>
    <dxf>
      <numFmt numFmtId="1" formatCode="0"/>
    </dxf>
    <dxf>
      <numFmt numFmtId="165" formatCode="\₹0,,&quot;M&quot;"/>
    </dxf>
    <dxf>
      <numFmt numFmtId="166" formatCode="0,\ &quot;K&quot;"/>
    </dxf>
    <dxf>
      <numFmt numFmtId="165" formatCode="\₹0,,&quot;M&quot;"/>
    </dxf>
    <dxf>
      <numFmt numFmtId="165" formatCode="\₹0,,&quot;M&quo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theme="3" tint="0.79998168889431442"/>
      </font>
      <fill>
        <patternFill>
          <bgColor theme="3"/>
        </patternFill>
      </fill>
      <border>
        <bottom style="thin">
          <color theme="4"/>
        </bottom>
        <vertical/>
        <horizontal/>
      </border>
    </dxf>
    <dxf>
      <font>
        <color theme="0"/>
      </font>
      <border>
        <left style="thin">
          <color theme="4"/>
        </left>
        <right style="thin">
          <color theme="4"/>
        </right>
        <top style="thin">
          <color theme="4"/>
        </top>
        <bottom style="thin">
          <color theme="4"/>
        </bottom>
        <vertical/>
        <horizontal/>
      </border>
    </dxf>
    <dxf>
      <fill>
        <patternFill>
          <bgColor theme="3" tint="0.79998168889431442"/>
        </patternFill>
      </fill>
    </dxf>
    <dxf>
      <fill>
        <patternFill patternType="solid">
          <bgColor theme="3"/>
        </patternFill>
      </fill>
      <border diagonalUp="0" diagonalDown="0">
        <left/>
        <right/>
        <top/>
        <bottom/>
        <vertical/>
        <horizontal/>
      </border>
    </dxf>
    <dxf>
      <font>
        <u/>
      </font>
      <fill>
        <patternFill patternType="none">
          <bgColor auto="1"/>
        </patternFill>
      </fill>
      <border diagonalUp="0" diagonalDown="0">
        <left/>
        <right/>
        <top/>
        <bottom/>
        <vertical/>
        <horizontal/>
      </border>
    </dxf>
  </dxfs>
  <tableStyles count="4" defaultTableStyle="TableStyleMedium9" defaultPivotStyle="PivotStyleLight16">
    <tableStyle name="Slicer Style 1" pivot="0" table="0" count="1" xr9:uid="{99F4D614-E38C-46AE-9EC8-1706D775D1C3}"/>
    <tableStyle name="Slicer Style 2" pivot="0" table="0" count="1" xr9:uid="{9AD1626E-D6B7-4F36-8CCC-33A7EF1C6F67}">
      <tableStyleElement type="wholeTable" dxfId="18"/>
    </tableStyle>
    <tableStyle name="Slicer Style 3" pivot="0" table="0" count="5" xr9:uid="{68F033A6-E71C-4D4C-8362-13F4DE7C3EE8}">
      <tableStyleElement type="wholeTable" dxfId="17"/>
      <tableStyleElement type="headerRow" dxfId="16"/>
    </tableStyle>
    <tableStyle name="SlicerStyleLight1 2" pivot="0" table="0" count="10" xr9:uid="{61632DC0-90A9-43B3-AAF7-5D230E7B0962}">
      <tableStyleElement type="wholeTable" dxfId="15"/>
      <tableStyleElement type="headerRow" dxfId="14"/>
    </tableStyle>
  </tableStyles>
  <colors>
    <mruColors>
      <color rgb="FF003366"/>
    </mruColors>
  </colors>
  <extLst>
    <ext xmlns:x14="http://schemas.microsoft.com/office/spreadsheetml/2009/9/main" uri="{46F421CA-312F-682f-3DD2-61675219B42D}">
      <x14:dxfs count="12">
        <dxf>
          <font>
            <color auto="1"/>
          </font>
          <fill>
            <patternFill patternType="solid">
              <fgColor auto="1"/>
              <bgColor theme="3"/>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auto="1"/>
          </font>
          <fill>
            <patternFill patternType="solid">
              <fgColor auto="1"/>
              <bgColor theme="3"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3"/>
              <bgColor auto="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3" tint="0.79995117038483843"/>
              <bgColor theme="3"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3"/>
              <bgColor theme="3" tint="-0.24994659260841701"/>
            </patternFill>
          </fill>
          <border>
            <left style="thin">
              <color rgb="FFCCCCCC"/>
            </left>
            <right style="thin">
              <color rgb="FFCCCCCC"/>
            </right>
            <top style="thin">
              <color rgb="FFCCCCCC"/>
            </top>
            <bottom style="thin">
              <color rgb="FFCCCCCC"/>
            </bottom>
            <vertical/>
            <horizontal/>
          </border>
        </dxf>
        <dxf>
          <fill>
            <patternFill>
              <bgColor theme="3" tint="-0.499984740745262"/>
            </patternFill>
          </fill>
        </dxf>
        <dxf>
          <fill>
            <patternFill>
              <bgColor theme="4" tint="0.79998168889431442"/>
            </patternFill>
          </fill>
        </dxf>
        <dxf>
          <fill>
            <patternFill>
              <bgColor theme="3" tint="0.79998168889431442"/>
            </patternFill>
          </fill>
        </dxf>
        <dxf>
          <font>
            <color theme="3"/>
          </font>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11"/>
          </x14:slicerStyleElements>
        </x14:slicerStyle>
        <x14:slicerStyle name="Slicer Style 2"/>
        <x14:slicerStyle name="Slicer Style 3">
          <x14:slicerStyleElements>
            <x14:slicerStyleElement type="unselectedItemWithData" dxfId="10"/>
            <x14:slicerStyleElement type="selectedItemWithNoData" dxfId="9"/>
            <x14:slicerStyleElement type="hovered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[ITC_Biscuits_Candies_Excel_Dashboard.xlsx]PivotTables!PivotTable1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tx2">
                    <a:lumMod val="20000"/>
                    <a:lumOff val="80000"/>
                  </a:schemeClr>
                </a:solidFill>
              </a:rPr>
              <a:t>mONTHLY</a:t>
            </a:r>
            <a:r>
              <a:rPr lang="en-US" baseline="0"/>
              <a:t> </a:t>
            </a:r>
            <a:r>
              <a:rPr lang="en-US" baseline="0">
                <a:solidFill>
                  <a:schemeClr val="tx2">
                    <a:lumMod val="20000"/>
                    <a:lumOff val="80000"/>
                  </a:schemeClr>
                </a:solidFill>
              </a:rPr>
              <a:t>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PivotTables!$G$1:$G$2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PivotTables!$F$3:$F$15</c:f>
              <c:strCache>
                <c:ptCount val="12"/>
                <c:pt idx="0">
                  <c:v>2024-01-01</c:v>
                </c:pt>
                <c:pt idx="1">
                  <c:v>2024-02-01</c:v>
                </c:pt>
                <c:pt idx="2">
                  <c:v>2024-03-01</c:v>
                </c:pt>
                <c:pt idx="3">
                  <c:v>2024-04-01</c:v>
                </c:pt>
                <c:pt idx="4">
                  <c:v>2024-05-01</c:v>
                </c:pt>
                <c:pt idx="5">
                  <c:v>2024-06-01</c:v>
                </c:pt>
                <c:pt idx="6">
                  <c:v>2024-07-01</c:v>
                </c:pt>
                <c:pt idx="7">
                  <c:v>2024-08-01</c:v>
                </c:pt>
                <c:pt idx="8">
                  <c:v>2024-09-01</c:v>
                </c:pt>
                <c:pt idx="9">
                  <c:v>2024-10-01</c:v>
                </c:pt>
                <c:pt idx="10">
                  <c:v>2024-11-01</c:v>
                </c:pt>
                <c:pt idx="11">
                  <c:v>2024-12-01</c:v>
                </c:pt>
              </c:strCache>
            </c:strRef>
          </c:cat>
          <c:val>
            <c:numRef>
              <c:f>PivotTables!$G$3:$G$15</c:f>
              <c:numCache>
                <c:formatCode>0,\ "K"</c:formatCode>
                <c:ptCount val="12"/>
                <c:pt idx="0">
                  <c:v>438444</c:v>
                </c:pt>
                <c:pt idx="1">
                  <c:v>434548</c:v>
                </c:pt>
                <c:pt idx="2">
                  <c:v>429634</c:v>
                </c:pt>
                <c:pt idx="3">
                  <c:v>441136</c:v>
                </c:pt>
                <c:pt idx="4">
                  <c:v>583010</c:v>
                </c:pt>
                <c:pt idx="5">
                  <c:v>575508</c:v>
                </c:pt>
                <c:pt idx="6">
                  <c:v>451838</c:v>
                </c:pt>
                <c:pt idx="7">
                  <c:v>430492</c:v>
                </c:pt>
                <c:pt idx="8">
                  <c:v>443328</c:v>
                </c:pt>
                <c:pt idx="9">
                  <c:v>663648</c:v>
                </c:pt>
                <c:pt idx="10">
                  <c:v>608802</c:v>
                </c:pt>
                <c:pt idx="11">
                  <c:v>653210</c:v>
                </c:pt>
              </c:numCache>
            </c:numRef>
          </c:val>
          <c:smooth val="0"/>
          <c:extLst>
            <c:ext xmlns:c16="http://schemas.microsoft.com/office/drawing/2014/chart" uri="{C3380CC4-5D6E-409C-BE32-E72D297353CC}">
              <c16:uniqueId val="{00000000-8325-4666-A61E-2C8DB2EC85F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74109552"/>
        <c:axId val="1574102352"/>
      </c:lineChart>
      <c:catAx>
        <c:axId val="157410955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74102352"/>
        <c:crosses val="autoZero"/>
        <c:auto val="1"/>
        <c:lblAlgn val="ctr"/>
        <c:lblOffset val="100"/>
        <c:noMultiLvlLbl val="0"/>
      </c:catAx>
      <c:valAx>
        <c:axId val="1574102352"/>
        <c:scaling>
          <c:orientation val="minMax"/>
        </c:scaling>
        <c:delete val="0"/>
        <c:axPos val="l"/>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7410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[ITC_Biscuits_Candies_Excel_Dashboard.xlsx]PivotTables!PivotTable3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tx2">
                    <a:lumMod val="20000"/>
                    <a:lumOff val="80000"/>
                  </a:schemeClr>
                </a:solidFill>
              </a:rPr>
              <a:t>GRAND</a:t>
            </a:r>
            <a:r>
              <a:rPr lang="en-US" baseline="0">
                <a:solidFill>
                  <a:schemeClr val="tx2">
                    <a:lumMod val="20000"/>
                    <a:lumOff val="80000"/>
                  </a:schemeClr>
                </a:solidFill>
              </a:rPr>
              <a:t> TOTAL BY BRAND</a:t>
            </a:r>
            <a:endParaRPr lang="en-US">
              <a:solidFill>
                <a:schemeClr val="tx2">
                  <a:lumMod val="20000"/>
                  <a:lumOff val="80000"/>
                </a:schemeClr>
              </a:solidFill>
            </a:endParaRP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61161886511518"/>
              <c:y val="0.1915172486847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5">
                  <a:tint val="65000"/>
                  <a:shade val="51000"/>
                  <a:satMod val="130000"/>
                </a:schemeClr>
              </a:gs>
              <a:gs pos="80000">
                <a:schemeClr val="accent5">
                  <a:tint val="65000"/>
                  <a:shade val="93000"/>
                  <a:satMod val="130000"/>
                </a:schemeClr>
              </a:gs>
              <a:gs pos="100000">
                <a:schemeClr val="accent5">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145648979518471"/>
              <c:y val="7.623318385650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5">
                  <a:shade val="65000"/>
                  <a:shade val="51000"/>
                  <a:satMod val="130000"/>
                </a:schemeClr>
              </a:gs>
              <a:gs pos="80000">
                <a:schemeClr val="accent5">
                  <a:shade val="65000"/>
                  <a:shade val="93000"/>
                  <a:satMod val="130000"/>
                </a:schemeClr>
              </a:gs>
              <a:gs pos="100000">
                <a:schemeClr val="accent5">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425844642752814"/>
              <c:y val="-0.13004484304932734"/>
            </c:manualLayout>
          </c:layout>
          <c:spPr>
            <a:noFill/>
            <a:ln>
              <a:noFill/>
            </a:ln>
            <a:effectLst/>
          </c:spPr>
          <c:txPr>
            <a:bodyPr rot="0" spcFirstLastPara="1" vertOverflow="ellipsis" vert="horz" wrap="none" lIns="0" tIns="19050" rIns="0" bIns="27432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3971062931483416"/>
                  <c:h val="0.11306662900321317"/>
                </c:manualLayout>
              </c15:layout>
            </c:ext>
          </c:extLst>
        </c:dLbl>
      </c:pivotFmt>
    </c:pivotFmts>
    <c:plotArea>
      <c:layout/>
      <c:doughnutChart>
        <c:varyColors val="1"/>
        <c:ser>
          <c:idx val="0"/>
          <c:order val="0"/>
          <c:tx>
            <c:strRef>
              <c:f>PivotTables!$O$1:$O$2</c:f>
              <c:strCache>
                <c:ptCount val="1"/>
                <c:pt idx="0">
                  <c:v>Total</c:v>
                </c:pt>
              </c:strCache>
            </c:strRef>
          </c:tx>
          <c:dPt>
            <c:idx val="0"/>
            <c:bubble3D val="0"/>
            <c:spPr>
              <a:gradFill rotWithShape="1">
                <a:gsLst>
                  <a:gs pos="0">
                    <a:schemeClr val="accent5">
                      <a:shade val="65000"/>
                      <a:shade val="51000"/>
                      <a:satMod val="130000"/>
                    </a:schemeClr>
                  </a:gs>
                  <a:gs pos="80000">
                    <a:schemeClr val="accent5">
                      <a:shade val="65000"/>
                      <a:shade val="93000"/>
                      <a:satMod val="130000"/>
                    </a:schemeClr>
                  </a:gs>
                  <a:gs pos="100000">
                    <a:schemeClr val="accent5">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1D6A-4BBB-9C54-491045A11BCC}"/>
              </c:ext>
            </c:extLst>
          </c:dPt>
          <c:dPt>
            <c:idx val="1"/>
            <c:bubble3D val="0"/>
            <c:extLst>
              <c:ext xmlns:c16="http://schemas.microsoft.com/office/drawing/2014/chart" uri="{C3380CC4-5D6E-409C-BE32-E72D297353CC}">
                <c16:uniqueId val="{00000002-1D6A-4BBB-9C54-491045A11BCC}"/>
              </c:ext>
            </c:extLst>
          </c:dPt>
          <c:dPt>
            <c:idx val="2"/>
            <c:bubble3D val="0"/>
            <c:extLst>
              <c:ext xmlns:c16="http://schemas.microsoft.com/office/drawing/2014/chart" uri="{C3380CC4-5D6E-409C-BE32-E72D297353CC}">
                <c16:uniqueId val="{00000003-1D6A-4BBB-9C54-491045A11BCC}"/>
              </c:ext>
            </c:extLst>
          </c:dPt>
          <c:dLbls>
            <c:dLbl>
              <c:idx val="0"/>
              <c:layout>
                <c:manualLayout>
                  <c:x val="0.14425844642752814"/>
                  <c:y val="-0.13004484304932734"/>
                </c:manualLayout>
              </c:layout>
              <c:spPr>
                <a:noFill/>
                <a:ln>
                  <a:noFill/>
                </a:ln>
                <a:effectLst/>
              </c:spPr>
              <c:txPr>
                <a:bodyPr rot="0" spcFirstLastPara="1" vertOverflow="ellipsis" vert="horz" wrap="none" lIns="0" tIns="19050" rIns="0" bIns="27432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3971062931483416"/>
                      <c:h val="0.11306662900321317"/>
                    </c:manualLayout>
                  </c15:layout>
                </c:ext>
                <c:ext xmlns:c16="http://schemas.microsoft.com/office/drawing/2014/chart" uri="{C3380CC4-5D6E-409C-BE32-E72D297353CC}">
                  <c16:uniqueId val="{00000004-1D6A-4BBB-9C54-491045A11B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PivotTables!$N$3:$N$4</c:f>
              <c:strCache>
                <c:ptCount val="1"/>
                <c:pt idx="0">
                  <c:v>Candyman</c:v>
                </c:pt>
              </c:strCache>
            </c:strRef>
          </c:cat>
          <c:val>
            <c:numRef>
              <c:f>PivotTables!$O$3:$O$4</c:f>
              <c:numCache>
                <c:formatCode>0.00%</c:formatCode>
                <c:ptCount val="1"/>
                <c:pt idx="0">
                  <c:v>1</c:v>
                </c:pt>
              </c:numCache>
            </c:numRef>
          </c:val>
          <c:extLst>
            <c:ext xmlns:c16="http://schemas.microsoft.com/office/drawing/2014/chart" uri="{C3380CC4-5D6E-409C-BE32-E72D297353CC}">
              <c16:uniqueId val="{00000000-1D6A-4BBB-9C54-491045A11BCC}"/>
            </c:ext>
          </c:extLst>
        </c:ser>
        <c:dLbls>
          <c:showLegendKey val="0"/>
          <c:showVal val="0"/>
          <c:showCatName val="1"/>
          <c:showSerName val="0"/>
          <c:showPercent val="1"/>
          <c:showBubbleSize val="0"/>
          <c:showLeaderLines val="1"/>
        </c:dLbls>
        <c:firstSliceAng val="35"/>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[ITC_Biscuits_Candies_Excel_Dashboard.xlsx]PivotTables!PivotTable2</c:name>
    <c:fmtId val="3"/>
  </c:pivotSource>
  <c:chart>
    <c:title>
      <c:tx>
        <c:rich>
          <a:bodyPr rot="0" spcFirstLastPara="1" vertOverflow="ellipsis" vert="horz" wrap="square" anchor="ctr" anchorCtr="1"/>
          <a:lstStyle/>
          <a:p>
            <a:pPr>
              <a:defRPr sz="1600" b="1" i="0" u="none" strike="noStrike" kern="1200" baseline="0">
                <a:ln>
                  <a:noFill/>
                </a:ln>
                <a:solidFill>
                  <a:schemeClr val="tx2">
                    <a:lumMod val="20000"/>
                    <a:lumOff val="80000"/>
                  </a:schemeClr>
                </a:solidFill>
                <a:latin typeface="+mn-lt"/>
                <a:ea typeface="+mn-ea"/>
                <a:cs typeface="+mn-cs"/>
              </a:defRPr>
            </a:pPr>
            <a:r>
              <a:rPr lang="en-US"/>
              <a:t>REGION WISE</a:t>
            </a:r>
            <a:r>
              <a:rPr lang="en-US" baseline="0"/>
              <a:t> PRODUCT </a:t>
            </a:r>
          </a:p>
        </c:rich>
      </c:tx>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2">
                  <a:lumMod val="20000"/>
                  <a:lumOff val="8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PivotTables!$J$1:$J$2</c:f>
              <c:strCache>
                <c:ptCount val="1"/>
                <c:pt idx="0">
                  <c:v>Candies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PivotTables!$I$3:$I$25</c:f>
              <c:strCache>
                <c:ptCount val="22"/>
                <c:pt idx="0">
                  <c:v>Andhra Pradesh</c:v>
                </c:pt>
                <c:pt idx="1">
                  <c:v>Assam</c:v>
                </c:pt>
                <c:pt idx="2">
                  <c:v>Bihar</c:v>
                </c:pt>
                <c:pt idx="3">
                  <c:v>Delhi</c:v>
                </c:pt>
                <c:pt idx="4">
                  <c:v>Goa</c:v>
                </c:pt>
                <c:pt idx="5">
                  <c:v>Gujarat</c:v>
                </c:pt>
                <c:pt idx="6">
                  <c:v>Haryana</c:v>
                </c:pt>
                <c:pt idx="7">
                  <c:v>Himachal Pradesh</c:v>
                </c:pt>
                <c:pt idx="8">
                  <c:v>Jammu &amp; Kashmir</c:v>
                </c:pt>
                <c:pt idx="9">
                  <c:v>Jharkhand</c:v>
                </c:pt>
                <c:pt idx="10">
                  <c:v>Karnataka</c:v>
                </c:pt>
                <c:pt idx="11">
                  <c:v>Kerala</c:v>
                </c:pt>
                <c:pt idx="12">
                  <c:v>Madhya Pradesh</c:v>
                </c:pt>
                <c:pt idx="13">
                  <c:v>Maharashtra</c:v>
                </c:pt>
                <c:pt idx="14">
                  <c:v>Odisha</c:v>
                </c:pt>
                <c:pt idx="15">
                  <c:v>Punjab</c:v>
                </c:pt>
                <c:pt idx="16">
                  <c:v>Rajasthan</c:v>
                </c:pt>
                <c:pt idx="17">
                  <c:v>Tamil Nadu</c:v>
                </c:pt>
                <c:pt idx="18">
                  <c:v>Telangana</c:v>
                </c:pt>
                <c:pt idx="19">
                  <c:v>Uttar Pradesh</c:v>
                </c:pt>
                <c:pt idx="20">
                  <c:v>Uttarakhand</c:v>
                </c:pt>
                <c:pt idx="21">
                  <c:v>West Bengal</c:v>
                </c:pt>
              </c:strCache>
            </c:strRef>
          </c:cat>
          <c:val>
            <c:numRef>
              <c:f>PivotTables!$J$3:$J$25</c:f>
              <c:numCache>
                <c:formatCode>0</c:formatCode>
                <c:ptCount val="22"/>
                <c:pt idx="0">
                  <c:v>294948</c:v>
                </c:pt>
                <c:pt idx="1">
                  <c:v>244718</c:v>
                </c:pt>
                <c:pt idx="2">
                  <c:v>273800</c:v>
                </c:pt>
                <c:pt idx="3">
                  <c:v>313028</c:v>
                </c:pt>
                <c:pt idx="4">
                  <c:v>320364</c:v>
                </c:pt>
                <c:pt idx="5">
                  <c:v>284178</c:v>
                </c:pt>
                <c:pt idx="6">
                  <c:v>240518</c:v>
                </c:pt>
                <c:pt idx="7">
                  <c:v>256890</c:v>
                </c:pt>
                <c:pt idx="8">
                  <c:v>277804</c:v>
                </c:pt>
                <c:pt idx="9">
                  <c:v>292808</c:v>
                </c:pt>
                <c:pt idx="10">
                  <c:v>305482</c:v>
                </c:pt>
                <c:pt idx="11">
                  <c:v>268864</c:v>
                </c:pt>
                <c:pt idx="12">
                  <c:v>292160</c:v>
                </c:pt>
                <c:pt idx="13">
                  <c:v>314984</c:v>
                </c:pt>
                <c:pt idx="14">
                  <c:v>264390</c:v>
                </c:pt>
                <c:pt idx="15">
                  <c:v>292790</c:v>
                </c:pt>
                <c:pt idx="16">
                  <c:v>265196</c:v>
                </c:pt>
                <c:pt idx="17">
                  <c:v>282368</c:v>
                </c:pt>
                <c:pt idx="18">
                  <c:v>260860</c:v>
                </c:pt>
                <c:pt idx="19">
                  <c:v>267762</c:v>
                </c:pt>
                <c:pt idx="20">
                  <c:v>258540</c:v>
                </c:pt>
                <c:pt idx="21">
                  <c:v>281146</c:v>
                </c:pt>
              </c:numCache>
            </c:numRef>
          </c:val>
          <c:extLst>
            <c:ext xmlns:c16="http://schemas.microsoft.com/office/drawing/2014/chart" uri="{C3380CC4-5D6E-409C-BE32-E72D297353CC}">
              <c16:uniqueId val="{00000000-2D33-4061-9925-D05EC9494251}"/>
            </c:ext>
          </c:extLst>
        </c:ser>
        <c:dLbls>
          <c:showLegendKey val="0"/>
          <c:showVal val="0"/>
          <c:showCatName val="0"/>
          <c:showSerName val="0"/>
          <c:showPercent val="0"/>
          <c:showBubbleSize val="0"/>
        </c:dLbls>
        <c:gapWidth val="150"/>
        <c:shape val="box"/>
        <c:axId val="1328169424"/>
        <c:axId val="1328167024"/>
        <c:axId val="0"/>
      </c:bar3DChart>
      <c:catAx>
        <c:axId val="1328169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2">
                    <a:lumMod val="20000"/>
                    <a:lumOff val="80000"/>
                  </a:schemeClr>
                </a:solidFill>
                <a:latin typeface="+mn-lt"/>
                <a:ea typeface="+mn-ea"/>
                <a:cs typeface="+mn-cs"/>
              </a:defRPr>
            </a:pPr>
            <a:endParaRPr lang="en-US"/>
          </a:p>
        </c:txPr>
        <c:crossAx val="1328167024"/>
        <c:crosses val="autoZero"/>
        <c:auto val="1"/>
        <c:lblAlgn val="ctr"/>
        <c:lblOffset val="100"/>
        <c:noMultiLvlLbl val="0"/>
      </c:catAx>
      <c:valAx>
        <c:axId val="1328167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2">
                    <a:lumMod val="20000"/>
                    <a:lumOff val="80000"/>
                  </a:schemeClr>
                </a:solidFill>
                <a:latin typeface="+mn-lt"/>
                <a:ea typeface="+mn-ea"/>
                <a:cs typeface="+mn-cs"/>
              </a:defRPr>
            </a:pPr>
            <a:endParaRPr lang="en-US"/>
          </a:p>
        </c:txPr>
        <c:crossAx val="132816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[ITC_Biscuits_Candies_Excel_Dashboard.xlsx]PivotTables!PivotTable4</c:name>
    <c:fmtId val="8"/>
  </c:pivotSource>
  <c:chart>
    <c:title>
      <c:tx>
        <c:rich>
          <a:bodyPr rot="0" spcFirstLastPara="1" vertOverflow="ellipsis" vert="horz" wrap="square" anchor="ctr" anchorCtr="1"/>
          <a:lstStyle/>
          <a:p>
            <a:pPr>
              <a:defRPr sz="1800" b="1" i="0" u="none" strike="noStrike" kern="1200" baseline="0">
                <a:solidFill>
                  <a:schemeClr val="tx2">
                    <a:lumMod val="20000"/>
                    <a:lumOff val="80000"/>
                  </a:schemeClr>
                </a:solidFill>
                <a:latin typeface="+mn-lt"/>
                <a:ea typeface="+mn-ea"/>
                <a:cs typeface="+mn-cs"/>
              </a:defRPr>
            </a:pPr>
            <a:r>
              <a:rPr lang="en-US"/>
              <a:t>TOP</a:t>
            </a:r>
            <a:r>
              <a:rPr lang="en-US" baseline="0"/>
              <a:t> PRODUCT BY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lumMod val="20000"/>
                  <a:lumOff val="8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PivotTables!$O$9:$O$10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PivotTables!$N$11:$N$12</c:f>
              <c:strCache>
                <c:ptCount val="1"/>
                <c:pt idx="0">
                  <c:v>Fruitee Fun (Orange)</c:v>
                </c:pt>
              </c:strCache>
            </c:strRef>
          </c:cat>
          <c:val>
            <c:numRef>
              <c:f>PivotTables!$O$11:$O$12</c:f>
              <c:numCache>
                <c:formatCode>General</c:formatCode>
                <c:ptCount val="1"/>
                <c:pt idx="0">
                  <c:v>6153598</c:v>
                </c:pt>
              </c:numCache>
            </c:numRef>
          </c:val>
          <c:extLst>
            <c:ext xmlns:c16="http://schemas.microsoft.com/office/drawing/2014/chart" uri="{C3380CC4-5D6E-409C-BE32-E72D297353CC}">
              <c16:uniqueId val="{00000000-005C-47F7-98A1-9692314E89C2}"/>
            </c:ext>
          </c:extLst>
        </c:ser>
        <c:dLbls>
          <c:dLblPos val="inEnd"/>
          <c:showLegendKey val="0"/>
          <c:showVal val="1"/>
          <c:showCatName val="0"/>
          <c:showSerName val="0"/>
          <c:showPercent val="0"/>
          <c:showBubbleSize val="0"/>
        </c:dLbls>
        <c:gapWidth val="65"/>
        <c:axId val="1781995360"/>
        <c:axId val="1781995840"/>
      </c:barChart>
      <c:catAx>
        <c:axId val="1781995360"/>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2">
                    <a:lumMod val="20000"/>
                    <a:lumOff val="80000"/>
                  </a:schemeClr>
                </a:solidFill>
                <a:latin typeface="+mn-lt"/>
                <a:ea typeface="+mn-ea"/>
                <a:cs typeface="+mn-cs"/>
              </a:defRPr>
            </a:pPr>
            <a:endParaRPr lang="en-US"/>
          </a:p>
        </c:txPr>
        <c:crossAx val="1781995840"/>
        <c:crosses val="autoZero"/>
        <c:auto val="1"/>
        <c:lblAlgn val="ctr"/>
        <c:lblOffset val="100"/>
        <c:noMultiLvlLbl val="0"/>
      </c:catAx>
      <c:valAx>
        <c:axId val="1781995840"/>
        <c:scaling>
          <c:orientation val="minMax"/>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78199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Info!A1"/><Relationship Id="rId7" Type="http://schemas.openxmlformats.org/officeDocument/2006/relationships/hyperlink" Target="#PivotTables!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DASHBOARD!A1"/><Relationship Id="rId5" Type="http://schemas.openxmlformats.org/officeDocument/2006/relationships/hyperlink" Target="#'KPI''S'!A1"/><Relationship Id="rId4" Type="http://schemas.openxmlformats.org/officeDocument/2006/relationships/hyperlink" Target="#Dataset!A1"/></Relationships>
</file>

<file path=xl/drawings/_rels/drawing2.xml.rels><?xml version="1.0" encoding="UTF-8" standalone="yes"?>
<Relationships xmlns="http://schemas.openxmlformats.org/package/2006/relationships"><Relationship Id="rId8" Type="http://schemas.openxmlformats.org/officeDocument/2006/relationships/hyperlink" Target="#'KPI''S'!A1"/><Relationship Id="rId3" Type="http://schemas.openxmlformats.org/officeDocument/2006/relationships/chart" Target="../charts/chart3.xml"/><Relationship Id="rId7" Type="http://schemas.openxmlformats.org/officeDocument/2006/relationships/hyperlink" Target="#Welcome!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taset!A1"/><Relationship Id="rId5" Type="http://schemas.openxmlformats.org/officeDocument/2006/relationships/hyperlink" Target="#Info!A1"/><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hyperlink" Target="#PivotTables!A1"/></Relationships>
</file>

<file path=xl/drawings/_rels/drawing3.xml.rels><?xml version="1.0" encoding="UTF-8" standalone="yes"?>
<Relationships xmlns="http://schemas.openxmlformats.org/package/2006/relationships"><Relationship Id="rId3" Type="http://schemas.openxmlformats.org/officeDocument/2006/relationships/hyperlink" Target="#'KPI''S'!A1"/><Relationship Id="rId2" Type="http://schemas.openxmlformats.org/officeDocument/2006/relationships/hyperlink" Target="#Welcome!A1"/><Relationship Id="rId1" Type="http://schemas.openxmlformats.org/officeDocument/2006/relationships/hyperlink" Target="#Info!A1"/><Relationship Id="rId6" Type="http://schemas.openxmlformats.org/officeDocument/2006/relationships/image" Target="../media/image2.png"/><Relationship Id="rId5" Type="http://schemas.openxmlformats.org/officeDocument/2006/relationships/hyperlink" Target="#PivotTables!A1"/><Relationship Id="rId4"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hyperlink" Target="#Welcome!A1"/><Relationship Id="rId2" Type="http://schemas.openxmlformats.org/officeDocument/2006/relationships/hyperlink" Target="#Dataset!A1"/><Relationship Id="rId1" Type="http://schemas.openxmlformats.org/officeDocument/2006/relationships/hyperlink" Target="#Info!A1"/><Relationship Id="rId6" Type="http://schemas.openxmlformats.org/officeDocument/2006/relationships/image" Target="../media/image2.png"/><Relationship Id="rId5" Type="http://schemas.openxmlformats.org/officeDocument/2006/relationships/hyperlink" Target="#PivotTables!A1"/><Relationship Id="rId4"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hyperlink" Target="#Welcome!A1"/><Relationship Id="rId2" Type="http://schemas.openxmlformats.org/officeDocument/2006/relationships/hyperlink" Target="#Dataset!A1"/><Relationship Id="rId1" Type="http://schemas.openxmlformats.org/officeDocument/2006/relationships/hyperlink" Target="#Info!A1"/><Relationship Id="rId6" Type="http://schemas.openxmlformats.org/officeDocument/2006/relationships/image" Target="../media/image2.png"/><Relationship Id="rId5" Type="http://schemas.openxmlformats.org/officeDocument/2006/relationships/hyperlink" Target="#DASHBOARD!A1"/><Relationship Id="rId4" Type="http://schemas.openxmlformats.org/officeDocument/2006/relationships/hyperlink" Target="#'KPI''S'!A1"/></Relationships>
</file>

<file path=xl/drawings/_rels/drawing6.xml.rels><?xml version="1.0" encoding="UTF-8" standalone="yes"?>
<Relationships xmlns="http://schemas.openxmlformats.org/package/2006/relationships"><Relationship Id="rId3" Type="http://schemas.openxmlformats.org/officeDocument/2006/relationships/hyperlink" Target="#'KPI''S'!A1"/><Relationship Id="rId7" Type="http://schemas.openxmlformats.org/officeDocument/2006/relationships/image" Target="../media/image2.png"/><Relationship Id="rId2" Type="http://schemas.openxmlformats.org/officeDocument/2006/relationships/hyperlink" Target="#Welcome!A1"/><Relationship Id="rId1" Type="http://schemas.openxmlformats.org/officeDocument/2006/relationships/hyperlink" Target="#Dataset!A1"/><Relationship Id="rId6" Type="http://schemas.openxmlformats.org/officeDocument/2006/relationships/hyperlink" Target="https://github.com/amjadlalkodithodika-web" TargetMode="External"/><Relationship Id="rId5" Type="http://schemas.openxmlformats.org/officeDocument/2006/relationships/hyperlink" Target="#PivotTables!A1"/><Relationship Id="rId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5</xdr:col>
      <xdr:colOff>213403</xdr:colOff>
      <xdr:row>0</xdr:row>
      <xdr:rowOff>19050</xdr:rowOff>
    </xdr:from>
    <xdr:to>
      <xdr:col>21</xdr:col>
      <xdr:colOff>378762</xdr:colOff>
      <xdr:row>33</xdr:row>
      <xdr:rowOff>182693</xdr:rowOff>
    </xdr:to>
    <xdr:pic>
      <xdr:nvPicPr>
        <xdr:cNvPr id="2" name="Picture 1">
          <a:extLst>
            <a:ext uri="{FF2B5EF4-FFF2-40B4-BE49-F238E27FC236}">
              <a16:creationId xmlns:a16="http://schemas.microsoft.com/office/drawing/2014/main" id="{486D55CC-106D-403B-BDEE-7C7638033225}"/>
            </a:ext>
          </a:extLst>
        </xdr:cNvPr>
        <xdr:cNvPicPr>
          <a:picLocks noChangeAspect="1"/>
        </xdr:cNvPicPr>
      </xdr:nvPicPr>
      <xdr:blipFill>
        <a:blip xmlns:r="http://schemas.openxmlformats.org/officeDocument/2006/relationships" r:embed="rId1" cstate="print">
          <a:alphaModFix amt="70000"/>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3261403" y="19050"/>
          <a:ext cx="9918959" cy="6240593"/>
        </a:xfrm>
        <a:prstGeom prst="rect">
          <a:avLst/>
        </a:prstGeom>
      </xdr:spPr>
    </xdr:pic>
    <xdr:clientData/>
  </xdr:twoCellAnchor>
  <xdr:twoCellAnchor>
    <xdr:from>
      <xdr:col>4</xdr:col>
      <xdr:colOff>81821</xdr:colOff>
      <xdr:row>9</xdr:row>
      <xdr:rowOff>180403</xdr:rowOff>
    </xdr:from>
    <xdr:to>
      <xdr:col>23</xdr:col>
      <xdr:colOff>81717</xdr:colOff>
      <xdr:row>20</xdr:row>
      <xdr:rowOff>133350</xdr:rowOff>
    </xdr:to>
    <xdr:sp macro="" textlink="">
      <xdr:nvSpPr>
        <xdr:cNvPr id="3" name="TextBox 2">
          <a:extLst>
            <a:ext uri="{FF2B5EF4-FFF2-40B4-BE49-F238E27FC236}">
              <a16:creationId xmlns:a16="http://schemas.microsoft.com/office/drawing/2014/main" id="{AE7CD50A-CCCB-49F3-AF05-5859171A5D77}"/>
            </a:ext>
          </a:extLst>
        </xdr:cNvPr>
        <xdr:cNvSpPr txBox="1"/>
      </xdr:nvSpPr>
      <xdr:spPr>
        <a:xfrm>
          <a:off x="2520221" y="1837753"/>
          <a:ext cx="11582296" cy="1978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4400" b="1">
              <a:solidFill>
                <a:schemeClr val="bg1"/>
              </a:solidFill>
              <a:latin typeface="Arial Rounded MT Bold" panose="020F0704030504030204" pitchFamily="34" charset="0"/>
            </a:rPr>
            <a:t>ITC FMCG PERFORMANCE</a:t>
          </a:r>
          <a:r>
            <a:rPr lang="en-US" sz="4400" b="1" baseline="0">
              <a:solidFill>
                <a:schemeClr val="bg1"/>
              </a:solidFill>
              <a:latin typeface="Arial Rounded MT Bold" panose="020F0704030504030204" pitchFamily="34" charset="0"/>
            </a:rPr>
            <a:t> DASHBOARD</a:t>
          </a:r>
          <a:endParaRPr lang="en-US" sz="4400" b="1">
            <a:solidFill>
              <a:schemeClr val="bg1"/>
            </a:solidFill>
            <a:latin typeface="Arial Rounded MT Bold" panose="020F0704030504030204" pitchFamily="34" charset="0"/>
          </a:endParaRPr>
        </a:p>
      </xdr:txBody>
    </xdr:sp>
    <xdr:clientData/>
  </xdr:twoCellAnchor>
  <xdr:twoCellAnchor>
    <xdr:from>
      <xdr:col>0</xdr:col>
      <xdr:colOff>0</xdr:colOff>
      <xdr:row>0</xdr:row>
      <xdr:rowOff>0</xdr:rowOff>
    </xdr:from>
    <xdr:to>
      <xdr:col>3</xdr:col>
      <xdr:colOff>528091</xdr:colOff>
      <xdr:row>36</xdr:row>
      <xdr:rowOff>178935</xdr:rowOff>
    </xdr:to>
    <xdr:sp macro="" textlink="">
      <xdr:nvSpPr>
        <xdr:cNvPr id="4" name="Rectangle 3">
          <a:extLst>
            <a:ext uri="{FF2B5EF4-FFF2-40B4-BE49-F238E27FC236}">
              <a16:creationId xmlns:a16="http://schemas.microsoft.com/office/drawing/2014/main" id="{B4B5F2E9-F381-4094-8ED8-2481A654069A}"/>
            </a:ext>
          </a:extLst>
        </xdr:cNvPr>
        <xdr:cNvSpPr/>
      </xdr:nvSpPr>
      <xdr:spPr>
        <a:xfrm>
          <a:off x="0" y="0"/>
          <a:ext cx="2354534" cy="677769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69850</xdr:colOff>
      <xdr:row>5</xdr:row>
      <xdr:rowOff>47885</xdr:rowOff>
    </xdr:from>
    <xdr:to>
      <xdr:col>3</xdr:col>
      <xdr:colOff>331241</xdr:colOff>
      <xdr:row>7</xdr:row>
      <xdr:rowOff>162289</xdr:rowOff>
    </xdr:to>
    <xdr:sp macro="" textlink="">
      <xdr:nvSpPr>
        <xdr:cNvPr id="5" name="Rectangle: Rounded Corners 4">
          <a:extLst>
            <a:ext uri="{FF2B5EF4-FFF2-40B4-BE49-F238E27FC236}">
              <a16:creationId xmlns:a16="http://schemas.microsoft.com/office/drawing/2014/main" id="{555029EF-860A-4F5C-8E78-F8799B735DA4}"/>
            </a:ext>
          </a:extLst>
        </xdr:cNvPr>
        <xdr:cNvSpPr/>
      </xdr:nvSpPr>
      <xdr:spPr>
        <a:xfrm>
          <a:off x="69850" y="968635"/>
          <a:ext cx="2090191" cy="482704"/>
        </a:xfrm>
        <a:prstGeom prst="roundRect">
          <a:avLst/>
        </a:prstGeom>
        <a:solidFill>
          <a:schemeClr val="tx2">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25218</xdr:colOff>
      <xdr:row>30</xdr:row>
      <xdr:rowOff>100780</xdr:rowOff>
    </xdr:from>
    <xdr:to>
      <xdr:col>2</xdr:col>
      <xdr:colOff>350474</xdr:colOff>
      <xdr:row>32</xdr:row>
      <xdr:rowOff>135016</xdr:rowOff>
    </xdr:to>
    <xdr:sp macro="" textlink="">
      <xdr:nvSpPr>
        <xdr:cNvPr id="6" name="TextBox 5">
          <a:hlinkClick xmlns:r="http://schemas.openxmlformats.org/officeDocument/2006/relationships" r:id="rId3"/>
          <a:extLst>
            <a:ext uri="{FF2B5EF4-FFF2-40B4-BE49-F238E27FC236}">
              <a16:creationId xmlns:a16="http://schemas.microsoft.com/office/drawing/2014/main" id="{AC1C5D3C-1119-4AD5-9BCA-7CFAEFA6676E}"/>
            </a:ext>
          </a:extLst>
        </xdr:cNvPr>
        <xdr:cNvSpPr txBox="1"/>
      </xdr:nvSpPr>
      <xdr:spPr>
        <a:xfrm>
          <a:off x="634818" y="5625280"/>
          <a:ext cx="934856" cy="402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INFO</a:t>
          </a:r>
        </a:p>
      </xdr:txBody>
    </xdr:sp>
    <xdr:clientData/>
  </xdr:twoCellAnchor>
  <xdr:twoCellAnchor>
    <xdr:from>
      <xdr:col>0</xdr:col>
      <xdr:colOff>296863</xdr:colOff>
      <xdr:row>15</xdr:row>
      <xdr:rowOff>113017</xdr:rowOff>
    </xdr:from>
    <xdr:to>
      <xdr:col>3</xdr:col>
      <xdr:colOff>78829</xdr:colOff>
      <xdr:row>18</xdr:row>
      <xdr:rowOff>2261</xdr:rowOff>
    </xdr:to>
    <xdr:sp macro="" textlink="">
      <xdr:nvSpPr>
        <xdr:cNvPr id="7" name="TextBox 6">
          <a:hlinkClick xmlns:r="http://schemas.openxmlformats.org/officeDocument/2006/relationships" r:id="rId4"/>
          <a:extLst>
            <a:ext uri="{FF2B5EF4-FFF2-40B4-BE49-F238E27FC236}">
              <a16:creationId xmlns:a16="http://schemas.microsoft.com/office/drawing/2014/main" id="{FB29E701-2FC8-493F-A4E2-A00D6AF55E74}"/>
            </a:ext>
          </a:extLst>
        </xdr:cNvPr>
        <xdr:cNvSpPr txBox="1"/>
      </xdr:nvSpPr>
      <xdr:spPr>
        <a:xfrm>
          <a:off x="296863" y="2875267"/>
          <a:ext cx="1610766" cy="44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DATASET</a:t>
          </a:r>
        </a:p>
      </xdr:txBody>
    </xdr:sp>
    <xdr:clientData/>
  </xdr:twoCellAnchor>
  <xdr:twoCellAnchor>
    <xdr:from>
      <xdr:col>0</xdr:col>
      <xdr:colOff>531813</xdr:colOff>
      <xdr:row>5</xdr:row>
      <xdr:rowOff>76460</xdr:rowOff>
    </xdr:from>
    <xdr:to>
      <xdr:col>2</xdr:col>
      <xdr:colOff>448899</xdr:colOff>
      <xdr:row>7</xdr:row>
      <xdr:rowOff>143239</xdr:rowOff>
    </xdr:to>
    <xdr:sp macro="" textlink="">
      <xdr:nvSpPr>
        <xdr:cNvPr id="8" name="TextBox 7">
          <a:extLst>
            <a:ext uri="{FF2B5EF4-FFF2-40B4-BE49-F238E27FC236}">
              <a16:creationId xmlns:a16="http://schemas.microsoft.com/office/drawing/2014/main" id="{736CB58A-03D1-4DE4-80EC-96FCCEDFCEB2}"/>
            </a:ext>
          </a:extLst>
        </xdr:cNvPr>
        <xdr:cNvSpPr txBox="1"/>
      </xdr:nvSpPr>
      <xdr:spPr>
        <a:xfrm>
          <a:off x="531813" y="997210"/>
          <a:ext cx="1136286" cy="435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2060"/>
              </a:solidFill>
              <a:latin typeface="Arial Nova" panose="020B0504020202020204" pitchFamily="34" charset="0"/>
              <a:ea typeface="+mn-ea"/>
              <a:cs typeface="Aharoni" panose="020F0502020204030204" pitchFamily="2" charset="-79"/>
            </a:rPr>
            <a:t>HOME</a:t>
          </a:r>
        </a:p>
      </xdr:txBody>
    </xdr:sp>
    <xdr:clientData/>
  </xdr:twoCellAnchor>
  <xdr:twoCellAnchor>
    <xdr:from>
      <xdr:col>1</xdr:col>
      <xdr:colOff>12518</xdr:colOff>
      <xdr:row>20</xdr:row>
      <xdr:rowOff>140159</xdr:rowOff>
    </xdr:from>
    <xdr:to>
      <xdr:col>2</xdr:col>
      <xdr:colOff>363174</xdr:colOff>
      <xdr:row>22</xdr:row>
      <xdr:rowOff>159049</xdr:rowOff>
    </xdr:to>
    <xdr:sp macro="" textlink="">
      <xdr:nvSpPr>
        <xdr:cNvPr id="9" name="TextBox 8">
          <a:hlinkClick xmlns:r="http://schemas.openxmlformats.org/officeDocument/2006/relationships" r:id="rId5"/>
          <a:extLst>
            <a:ext uri="{FF2B5EF4-FFF2-40B4-BE49-F238E27FC236}">
              <a16:creationId xmlns:a16="http://schemas.microsoft.com/office/drawing/2014/main" id="{AE687EE3-1B9D-44C7-850B-118D42F67042}"/>
            </a:ext>
          </a:extLst>
        </xdr:cNvPr>
        <xdr:cNvSpPr txBox="1"/>
      </xdr:nvSpPr>
      <xdr:spPr>
        <a:xfrm>
          <a:off x="622118" y="3823159"/>
          <a:ext cx="960256" cy="38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KPI'S</a:t>
          </a:r>
        </a:p>
      </xdr:txBody>
    </xdr:sp>
    <xdr:clientData/>
  </xdr:twoCellAnchor>
  <xdr:twoCellAnchor>
    <xdr:from>
      <xdr:col>0</xdr:col>
      <xdr:colOff>28575</xdr:colOff>
      <xdr:row>10</xdr:row>
      <xdr:rowOff>103337</xdr:rowOff>
    </xdr:from>
    <xdr:to>
      <xdr:col>3</xdr:col>
      <xdr:colOff>347116</xdr:colOff>
      <xdr:row>12</xdr:row>
      <xdr:rowOff>165619</xdr:rowOff>
    </xdr:to>
    <xdr:sp macro="" textlink="">
      <xdr:nvSpPr>
        <xdr:cNvPr id="10" name="TextBox 9">
          <a:hlinkClick xmlns:r="http://schemas.openxmlformats.org/officeDocument/2006/relationships" r:id="rId6"/>
          <a:extLst>
            <a:ext uri="{FF2B5EF4-FFF2-40B4-BE49-F238E27FC236}">
              <a16:creationId xmlns:a16="http://schemas.microsoft.com/office/drawing/2014/main" id="{337AD94F-4022-4DC4-BA0C-509BC13C4B81}"/>
            </a:ext>
          </a:extLst>
        </xdr:cNvPr>
        <xdr:cNvSpPr txBox="1"/>
      </xdr:nvSpPr>
      <xdr:spPr>
        <a:xfrm>
          <a:off x="28575" y="1944837"/>
          <a:ext cx="2147341" cy="430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ysClr val="windowText" lastClr="000000"/>
              </a:solidFill>
              <a:latin typeface="Arial Nova" panose="020B0504020202020204" pitchFamily="34" charset="0"/>
              <a:cs typeface="Aharoni" panose="020F0502020204030204" pitchFamily="2" charset="-79"/>
            </a:rPr>
            <a:t>DASHBOARD</a:t>
          </a:r>
          <a:endParaRPr lang="en-US" sz="1600" b="1">
            <a:solidFill>
              <a:sysClr val="windowText" lastClr="000000"/>
            </a:solidFill>
            <a:latin typeface="Arial Nova" panose="020B0504020202020204" pitchFamily="34" charset="0"/>
            <a:cs typeface="Aharoni" panose="020F0502020204030204" pitchFamily="2" charset="-79"/>
          </a:endParaRPr>
        </a:p>
      </xdr:txBody>
    </xdr:sp>
    <xdr:clientData/>
  </xdr:twoCellAnchor>
  <xdr:twoCellAnchor>
    <xdr:from>
      <xdr:col>3</xdr:col>
      <xdr:colOff>280441</xdr:colOff>
      <xdr:row>0</xdr:row>
      <xdr:rowOff>19050</xdr:rowOff>
    </xdr:from>
    <xdr:to>
      <xdr:col>3</xdr:col>
      <xdr:colOff>523875</xdr:colOff>
      <xdr:row>37</xdr:row>
      <xdr:rowOff>0</xdr:rowOff>
    </xdr:to>
    <xdr:sp macro="" textlink="">
      <xdr:nvSpPr>
        <xdr:cNvPr id="11" name="Rectangle 10">
          <a:extLst>
            <a:ext uri="{FF2B5EF4-FFF2-40B4-BE49-F238E27FC236}">
              <a16:creationId xmlns:a16="http://schemas.microsoft.com/office/drawing/2014/main" id="{DC22D1CE-3833-44E2-9D9C-5A2D30549044}"/>
            </a:ext>
          </a:extLst>
        </xdr:cNvPr>
        <xdr:cNvSpPr/>
      </xdr:nvSpPr>
      <xdr:spPr>
        <a:xfrm>
          <a:off x="2114004" y="19050"/>
          <a:ext cx="243434" cy="6735763"/>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104775</xdr:colOff>
      <xdr:row>25</xdr:row>
      <xdr:rowOff>150897</xdr:rowOff>
    </xdr:from>
    <xdr:to>
      <xdr:col>3</xdr:col>
      <xdr:colOff>270916</xdr:colOff>
      <xdr:row>28</xdr:row>
      <xdr:rowOff>982</xdr:rowOff>
    </xdr:to>
    <xdr:sp macro="" textlink="">
      <xdr:nvSpPr>
        <xdr:cNvPr id="12" name="TextBox 11">
          <a:hlinkClick xmlns:r="http://schemas.openxmlformats.org/officeDocument/2006/relationships" r:id="rId7"/>
          <a:extLst>
            <a:ext uri="{FF2B5EF4-FFF2-40B4-BE49-F238E27FC236}">
              <a16:creationId xmlns:a16="http://schemas.microsoft.com/office/drawing/2014/main" id="{F01FC23A-CAAE-42E0-B181-E6B708030FA6}"/>
            </a:ext>
          </a:extLst>
        </xdr:cNvPr>
        <xdr:cNvSpPr txBox="1"/>
      </xdr:nvSpPr>
      <xdr:spPr>
        <a:xfrm>
          <a:off x="104775" y="4754647"/>
          <a:ext cx="1994941" cy="40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dk1"/>
              </a:solidFill>
              <a:latin typeface="Arial Nova" panose="020B0504020202020204" pitchFamily="34" charset="0"/>
              <a:ea typeface="+mn-ea"/>
              <a:cs typeface="Aharoni" panose="020F0502020204030204" pitchFamily="2" charset="-79"/>
            </a:rPr>
            <a:t>PIVOT</a:t>
          </a:r>
          <a:r>
            <a:rPr lang="en-US" sz="1800" b="1">
              <a:solidFill>
                <a:schemeClr val="dk1"/>
              </a:solidFill>
              <a:latin typeface="Arial Nova" panose="020B0504020202020204" pitchFamily="34" charset="0"/>
              <a:ea typeface="+mn-ea"/>
              <a:cs typeface="Aharoni" panose="020F0502020204030204" pitchFamily="2" charset="-79"/>
            </a:rPr>
            <a:t> </a:t>
          </a:r>
          <a:r>
            <a:rPr lang="en-US" sz="2000" b="1">
              <a:solidFill>
                <a:schemeClr val="dk1"/>
              </a:solidFill>
              <a:latin typeface="Arial Nova" panose="020B0504020202020204" pitchFamily="34" charset="0"/>
              <a:ea typeface="+mn-ea"/>
              <a:cs typeface="Aharoni" panose="020F0502020204030204" pitchFamily="2" charset="-79"/>
            </a:rPr>
            <a:t>TABLES</a:t>
          </a:r>
          <a:endParaRPr lang="en-US" sz="1800" b="1">
            <a:solidFill>
              <a:schemeClr val="dk1"/>
            </a:solidFill>
            <a:latin typeface="Arial Nova" panose="020B0504020202020204" pitchFamily="34" charset="0"/>
            <a:ea typeface="+mn-ea"/>
            <a:cs typeface="Aharoni" panose="020F0502020204030204" pitchFamily="2" charset="-79"/>
          </a:endParaRPr>
        </a:p>
      </xdr:txBody>
    </xdr:sp>
    <xdr:clientData/>
  </xdr:twoCellAnchor>
  <xdr:twoCellAnchor>
    <xdr:from>
      <xdr:col>20</xdr:col>
      <xdr:colOff>97957</xdr:colOff>
      <xdr:row>30</xdr:row>
      <xdr:rowOff>49134</xdr:rowOff>
    </xdr:from>
    <xdr:to>
      <xdr:col>22</xdr:col>
      <xdr:colOff>83487</xdr:colOff>
      <xdr:row>33</xdr:row>
      <xdr:rowOff>77866</xdr:rowOff>
    </xdr:to>
    <xdr:sp macro="" textlink="">
      <xdr:nvSpPr>
        <xdr:cNvPr id="13" name="TextBox 12">
          <a:extLst>
            <a:ext uri="{FF2B5EF4-FFF2-40B4-BE49-F238E27FC236}">
              <a16:creationId xmlns:a16="http://schemas.microsoft.com/office/drawing/2014/main" id="{A4C59503-40BC-4896-87A1-7DE291BFB3CF}"/>
            </a:ext>
          </a:extLst>
        </xdr:cNvPr>
        <xdr:cNvSpPr txBox="1"/>
      </xdr:nvSpPr>
      <xdr:spPr>
        <a:xfrm>
          <a:off x="12289957" y="5573634"/>
          <a:ext cx="1204730" cy="581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2">
                  <a:lumMod val="20000"/>
                  <a:lumOff val="80000"/>
                </a:schemeClr>
              </a:solidFill>
            </a:rPr>
            <a:t>Created</a:t>
          </a:r>
          <a:r>
            <a:rPr lang="en-US" sz="1100" baseline="0">
              <a:solidFill>
                <a:schemeClr val="tx2">
                  <a:lumMod val="20000"/>
                  <a:lumOff val="80000"/>
                </a:schemeClr>
              </a:solidFill>
            </a:rPr>
            <a:t> by :</a:t>
          </a:r>
        </a:p>
        <a:p>
          <a:r>
            <a:rPr lang="en-US" sz="1100" baseline="0">
              <a:solidFill>
                <a:schemeClr val="tx2">
                  <a:lumMod val="20000"/>
                  <a:lumOff val="80000"/>
                </a:schemeClr>
              </a:solidFill>
            </a:rPr>
            <a:t>    Amjad Lal K</a:t>
          </a:r>
        </a:p>
      </xdr:txBody>
    </xdr:sp>
    <xdr:clientData/>
  </xdr:twoCellAnchor>
  <xdr:twoCellAnchor editAs="oneCell">
    <xdr:from>
      <xdr:col>0</xdr:col>
      <xdr:colOff>587375</xdr:colOff>
      <xdr:row>0</xdr:row>
      <xdr:rowOff>6350</xdr:rowOff>
    </xdr:from>
    <xdr:to>
      <xdr:col>2</xdr:col>
      <xdr:colOff>393336</xdr:colOff>
      <xdr:row>4</xdr:row>
      <xdr:rowOff>165308</xdr:rowOff>
    </xdr:to>
    <xdr:pic>
      <xdr:nvPicPr>
        <xdr:cNvPr id="14" name="Picture 13">
          <a:extLst>
            <a:ext uri="{FF2B5EF4-FFF2-40B4-BE49-F238E27FC236}">
              <a16:creationId xmlns:a16="http://schemas.microsoft.com/office/drawing/2014/main" id="{9B7CF2AE-54E1-4120-B55A-33418C4A344C}"/>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4924" t="12820" r="25846" b="12927"/>
        <a:stretch>
          <a:fillRect/>
        </a:stretch>
      </xdr:blipFill>
      <xdr:spPr>
        <a:xfrm>
          <a:off x="587375" y="6350"/>
          <a:ext cx="1025161" cy="8955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0</xdr:rowOff>
    </xdr:from>
    <xdr:to>
      <xdr:col>3</xdr:col>
      <xdr:colOff>552450</xdr:colOff>
      <xdr:row>37</xdr:row>
      <xdr:rowOff>3128</xdr:rowOff>
    </xdr:to>
    <xdr:sp macro="" textlink="">
      <xdr:nvSpPr>
        <xdr:cNvPr id="38" name="Rectangle 37">
          <a:extLst>
            <a:ext uri="{FF2B5EF4-FFF2-40B4-BE49-F238E27FC236}">
              <a16:creationId xmlns:a16="http://schemas.microsoft.com/office/drawing/2014/main" id="{889A0077-B0D5-FB58-4825-DABC554A5D63}"/>
            </a:ext>
          </a:extLst>
        </xdr:cNvPr>
        <xdr:cNvSpPr/>
      </xdr:nvSpPr>
      <xdr:spPr>
        <a:xfrm>
          <a:off x="38100" y="0"/>
          <a:ext cx="2344276" cy="6831724"/>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10</xdr:row>
      <xdr:rowOff>50800</xdr:rowOff>
    </xdr:from>
    <xdr:to>
      <xdr:col>3</xdr:col>
      <xdr:colOff>342900</xdr:colOff>
      <xdr:row>12</xdr:row>
      <xdr:rowOff>158750</xdr:rowOff>
    </xdr:to>
    <xdr:sp macro="" textlink="">
      <xdr:nvSpPr>
        <xdr:cNvPr id="48" name="Rectangle: Rounded Corners 47">
          <a:extLst>
            <a:ext uri="{FF2B5EF4-FFF2-40B4-BE49-F238E27FC236}">
              <a16:creationId xmlns:a16="http://schemas.microsoft.com/office/drawing/2014/main" id="{EDD6F7F7-1D30-707E-A6F7-97F94AA18453}"/>
            </a:ext>
          </a:extLst>
        </xdr:cNvPr>
        <xdr:cNvSpPr/>
      </xdr:nvSpPr>
      <xdr:spPr>
        <a:xfrm>
          <a:off x="95250" y="1892300"/>
          <a:ext cx="2076450" cy="476250"/>
        </a:xfrm>
        <a:prstGeom prst="roundRect">
          <a:avLst/>
        </a:prstGeom>
        <a:solidFill>
          <a:schemeClr val="tx2">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571500</xdr:colOff>
      <xdr:row>0</xdr:row>
      <xdr:rowOff>127000</xdr:rowOff>
    </xdr:from>
    <xdr:to>
      <xdr:col>20</xdr:col>
      <xdr:colOff>190500</xdr:colOff>
      <xdr:row>4</xdr:row>
      <xdr:rowOff>38100</xdr:rowOff>
    </xdr:to>
    <xdr:sp macro="" textlink="">
      <xdr:nvSpPr>
        <xdr:cNvPr id="2" name="TextBox 1">
          <a:extLst>
            <a:ext uri="{FF2B5EF4-FFF2-40B4-BE49-F238E27FC236}">
              <a16:creationId xmlns:a16="http://schemas.microsoft.com/office/drawing/2014/main" id="{FC49A2D5-0F42-59B5-27A8-E33E5DED7C67}"/>
            </a:ext>
          </a:extLst>
        </xdr:cNvPr>
        <xdr:cNvSpPr txBox="1"/>
      </xdr:nvSpPr>
      <xdr:spPr>
        <a:xfrm>
          <a:off x="2400300" y="127000"/>
          <a:ext cx="99822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b="1">
              <a:solidFill>
                <a:schemeClr val="bg1"/>
              </a:solidFill>
              <a:effectLst/>
              <a:latin typeface="Aptos Display" panose="020B0004020202020204" pitchFamily="34" charset="0"/>
              <a:ea typeface="+mn-ea"/>
              <a:cs typeface="+mn-cs"/>
            </a:rPr>
            <a:t>ITC   FMCG PERFORMANCE</a:t>
          </a:r>
          <a:r>
            <a:rPr lang="en-US" sz="4000" b="1" baseline="0">
              <a:solidFill>
                <a:schemeClr val="bg1"/>
              </a:solidFill>
              <a:effectLst/>
              <a:latin typeface="Aptos Display" panose="020B0004020202020204" pitchFamily="34" charset="0"/>
              <a:ea typeface="+mn-ea"/>
              <a:cs typeface="+mn-cs"/>
            </a:rPr>
            <a:t> DASHBOARD</a:t>
          </a:r>
          <a:endParaRPr lang="en-US" sz="4000" b="1">
            <a:solidFill>
              <a:schemeClr val="bg1"/>
            </a:solidFill>
            <a:effectLst/>
            <a:latin typeface="Aptos Display" panose="020B0004020202020204" pitchFamily="34" charset="0"/>
          </a:endParaRPr>
        </a:p>
      </xdr:txBody>
    </xdr:sp>
    <xdr:clientData/>
  </xdr:twoCellAnchor>
  <xdr:twoCellAnchor>
    <xdr:from>
      <xdr:col>4</xdr:col>
      <xdr:colOff>76200</xdr:colOff>
      <xdr:row>4</xdr:row>
      <xdr:rowOff>120650</xdr:rowOff>
    </xdr:from>
    <xdr:to>
      <xdr:col>16</xdr:col>
      <xdr:colOff>190500</xdr:colOff>
      <xdr:row>10</xdr:row>
      <xdr:rowOff>127000</xdr:rowOff>
    </xdr:to>
    <xdr:sp macro="" textlink="">
      <xdr:nvSpPr>
        <xdr:cNvPr id="7" name="Rectangle: Rounded Corners 6">
          <a:extLst>
            <a:ext uri="{FF2B5EF4-FFF2-40B4-BE49-F238E27FC236}">
              <a16:creationId xmlns:a16="http://schemas.microsoft.com/office/drawing/2014/main" id="{7E1070FF-14B4-66F7-E1C9-98DFCD39A462}"/>
            </a:ext>
          </a:extLst>
        </xdr:cNvPr>
        <xdr:cNvSpPr/>
      </xdr:nvSpPr>
      <xdr:spPr>
        <a:xfrm>
          <a:off x="2514600" y="857250"/>
          <a:ext cx="7429500" cy="1111250"/>
        </a:xfrm>
        <a:prstGeom prst="roundRect">
          <a:avLst/>
        </a:prstGeom>
        <a:ln>
          <a:noFill/>
        </a:ln>
        <a:effectLst>
          <a:outerShdw blurRad="63500" algn="ctr" rotWithShape="0">
            <a:schemeClr val="accent1">
              <a:lumMod val="40000"/>
              <a:lumOff val="6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212372</xdr:colOff>
      <xdr:row>4</xdr:row>
      <xdr:rowOff>171450</xdr:rowOff>
    </xdr:from>
    <xdr:to>
      <xdr:col>7</xdr:col>
      <xdr:colOff>21872</xdr:colOff>
      <xdr:row>10</xdr:row>
      <xdr:rowOff>82550</xdr:rowOff>
    </xdr:to>
    <xdr:sp macro="" textlink="">
      <xdr:nvSpPr>
        <xdr:cNvPr id="8" name="Rectangle: Rounded Corners 7">
          <a:extLst>
            <a:ext uri="{FF2B5EF4-FFF2-40B4-BE49-F238E27FC236}">
              <a16:creationId xmlns:a16="http://schemas.microsoft.com/office/drawing/2014/main" id="{D6CE90FA-B1CC-DDA2-E1FA-1D6B1D4432C6}"/>
            </a:ext>
          </a:extLst>
        </xdr:cNvPr>
        <xdr:cNvSpPr/>
      </xdr:nvSpPr>
      <xdr:spPr>
        <a:xfrm>
          <a:off x="2650772" y="908050"/>
          <a:ext cx="1638300" cy="10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216605</xdr:colOff>
      <xdr:row>4</xdr:row>
      <xdr:rowOff>171450</xdr:rowOff>
    </xdr:from>
    <xdr:to>
      <xdr:col>10</xdr:col>
      <xdr:colOff>26105</xdr:colOff>
      <xdr:row>10</xdr:row>
      <xdr:rowOff>82550</xdr:rowOff>
    </xdr:to>
    <xdr:sp macro="" textlink="">
      <xdr:nvSpPr>
        <xdr:cNvPr id="18" name="Rectangle: Rounded Corners 17">
          <a:extLst>
            <a:ext uri="{FF2B5EF4-FFF2-40B4-BE49-F238E27FC236}">
              <a16:creationId xmlns:a16="http://schemas.microsoft.com/office/drawing/2014/main" id="{EC0087B6-20AB-433E-B73D-EBEEB3F2D7B6}"/>
            </a:ext>
          </a:extLst>
        </xdr:cNvPr>
        <xdr:cNvSpPr/>
      </xdr:nvSpPr>
      <xdr:spPr>
        <a:xfrm>
          <a:off x="4483805" y="908050"/>
          <a:ext cx="1638300" cy="10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220838</xdr:colOff>
      <xdr:row>4</xdr:row>
      <xdr:rowOff>177800</xdr:rowOff>
    </xdr:from>
    <xdr:to>
      <xdr:col>13</xdr:col>
      <xdr:colOff>30338</xdr:colOff>
      <xdr:row>10</xdr:row>
      <xdr:rowOff>88900</xdr:rowOff>
    </xdr:to>
    <xdr:sp macro="" textlink="">
      <xdr:nvSpPr>
        <xdr:cNvPr id="19" name="Rectangle: Rounded Corners 18">
          <a:extLst>
            <a:ext uri="{FF2B5EF4-FFF2-40B4-BE49-F238E27FC236}">
              <a16:creationId xmlns:a16="http://schemas.microsoft.com/office/drawing/2014/main" id="{4415EA9A-7C66-405A-B8ED-02FF2BB3E5F8}"/>
            </a:ext>
          </a:extLst>
        </xdr:cNvPr>
        <xdr:cNvSpPr/>
      </xdr:nvSpPr>
      <xdr:spPr>
        <a:xfrm>
          <a:off x="6316838" y="914400"/>
          <a:ext cx="1638300" cy="10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225072</xdr:colOff>
      <xdr:row>5</xdr:row>
      <xdr:rowOff>0</xdr:rowOff>
    </xdr:from>
    <xdr:to>
      <xdr:col>16</xdr:col>
      <xdr:colOff>34572</xdr:colOff>
      <xdr:row>10</xdr:row>
      <xdr:rowOff>95250</xdr:rowOff>
    </xdr:to>
    <xdr:sp macro="" textlink="">
      <xdr:nvSpPr>
        <xdr:cNvPr id="20" name="Rectangle: Rounded Corners 19">
          <a:extLst>
            <a:ext uri="{FF2B5EF4-FFF2-40B4-BE49-F238E27FC236}">
              <a16:creationId xmlns:a16="http://schemas.microsoft.com/office/drawing/2014/main" id="{45FE3664-A3FD-4579-82D0-908B9DCC042D}"/>
            </a:ext>
          </a:extLst>
        </xdr:cNvPr>
        <xdr:cNvSpPr/>
      </xdr:nvSpPr>
      <xdr:spPr>
        <a:xfrm>
          <a:off x="8149872" y="920750"/>
          <a:ext cx="1638300" cy="10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311150</xdr:colOff>
      <xdr:row>5</xdr:row>
      <xdr:rowOff>114300</xdr:rowOff>
    </xdr:from>
    <xdr:to>
      <xdr:col>6</xdr:col>
      <xdr:colOff>584200</xdr:colOff>
      <xdr:row>7</xdr:row>
      <xdr:rowOff>6350</xdr:rowOff>
    </xdr:to>
    <xdr:sp macro="" textlink="">
      <xdr:nvSpPr>
        <xdr:cNvPr id="21" name="TextBox 20">
          <a:extLst>
            <a:ext uri="{FF2B5EF4-FFF2-40B4-BE49-F238E27FC236}">
              <a16:creationId xmlns:a16="http://schemas.microsoft.com/office/drawing/2014/main" id="{787289A9-5AFC-621B-3C28-2D3DB48E4E6C}"/>
            </a:ext>
          </a:extLst>
        </xdr:cNvPr>
        <xdr:cNvSpPr txBox="1"/>
      </xdr:nvSpPr>
      <xdr:spPr>
        <a:xfrm>
          <a:off x="2749550" y="1035050"/>
          <a:ext cx="14922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panose="020B0604020202020204" pitchFamily="34" charset="0"/>
              <a:ea typeface="ADLaM Display" panose="02010000000000000000" pitchFamily="2" charset="0"/>
              <a:cs typeface="Arial" panose="020B0604020202020204" pitchFamily="34" charset="0"/>
            </a:rPr>
            <a:t>TOTAL</a:t>
          </a:r>
          <a:r>
            <a:rPr lang="en-US" sz="1200" b="1" baseline="0">
              <a:latin typeface="Arial" panose="020B0604020202020204" pitchFamily="34" charset="0"/>
              <a:ea typeface="ADLaM Display" panose="02010000000000000000" pitchFamily="2" charset="0"/>
              <a:cs typeface="Arial" panose="020B0604020202020204" pitchFamily="34" charset="0"/>
            </a:rPr>
            <a:t> </a:t>
          </a:r>
          <a:r>
            <a:rPr lang="en-US" sz="1200" b="1" baseline="0">
              <a:solidFill>
                <a:schemeClr val="bg1"/>
              </a:solidFill>
              <a:latin typeface="Arial" panose="020B0604020202020204" pitchFamily="34" charset="0"/>
              <a:ea typeface="ADLaM Display" panose="02010000000000000000" pitchFamily="2" charset="0"/>
              <a:cs typeface="Arial" panose="020B0604020202020204" pitchFamily="34" charset="0"/>
            </a:rPr>
            <a:t>REVENUE</a:t>
          </a:r>
          <a:endParaRPr lang="en-US" sz="1200" b="1">
            <a:solidFill>
              <a:schemeClr val="bg1"/>
            </a:solidFill>
            <a:latin typeface="Arial" panose="020B0604020202020204" pitchFamily="34" charset="0"/>
            <a:ea typeface="ADLaM Display" panose="02010000000000000000" pitchFamily="2" charset="0"/>
            <a:cs typeface="Arial" panose="020B0604020202020204" pitchFamily="34" charset="0"/>
          </a:endParaRPr>
        </a:p>
      </xdr:txBody>
    </xdr:sp>
    <xdr:clientData/>
  </xdr:twoCellAnchor>
  <xdr:twoCellAnchor>
    <xdr:from>
      <xdr:col>4</xdr:col>
      <xdr:colOff>146050</xdr:colOff>
      <xdr:row>7</xdr:row>
      <xdr:rowOff>82550</xdr:rowOff>
    </xdr:from>
    <xdr:to>
      <xdr:col>7</xdr:col>
      <xdr:colOff>88900</xdr:colOff>
      <xdr:row>10</xdr:row>
      <xdr:rowOff>95250</xdr:rowOff>
    </xdr:to>
    <xdr:sp macro="" textlink="'KPI''S'!F4">
      <xdr:nvSpPr>
        <xdr:cNvPr id="23" name="TextBox 22">
          <a:extLst>
            <a:ext uri="{FF2B5EF4-FFF2-40B4-BE49-F238E27FC236}">
              <a16:creationId xmlns:a16="http://schemas.microsoft.com/office/drawing/2014/main" id="{B76EA3B5-B8D2-4BAE-B6D7-77C565BC3E19}"/>
            </a:ext>
          </a:extLst>
        </xdr:cNvPr>
        <xdr:cNvSpPr txBox="1"/>
      </xdr:nvSpPr>
      <xdr:spPr>
        <a:xfrm>
          <a:off x="2584450" y="1371600"/>
          <a:ext cx="177165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041014E-9B90-4D45-B984-1CAC877BDB5A}" type="TxLink">
            <a:rPr lang="en-US" sz="2400" b="1">
              <a:solidFill>
                <a:schemeClr val="bg1"/>
              </a:solidFill>
              <a:latin typeface="Arial" panose="020B0604020202020204" pitchFamily="34" charset="0"/>
              <a:ea typeface="ADLaM Display" panose="02010000000000000000" pitchFamily="2" charset="0"/>
              <a:cs typeface="Arial" panose="020B0604020202020204" pitchFamily="34" charset="0"/>
            </a:rPr>
            <a:pPr marL="0" indent="0" algn="ctr"/>
            <a:t>6154 K</a:t>
          </a:fld>
          <a:endParaRPr lang="en-US" sz="2400" b="1">
            <a:solidFill>
              <a:schemeClr val="bg1"/>
            </a:solidFill>
            <a:latin typeface="Arial" panose="020B0604020202020204" pitchFamily="34" charset="0"/>
            <a:ea typeface="ADLaM Display" panose="02010000000000000000" pitchFamily="2" charset="0"/>
            <a:cs typeface="Arial" panose="020B0604020202020204" pitchFamily="34" charset="0"/>
          </a:endParaRPr>
        </a:p>
      </xdr:txBody>
    </xdr:sp>
    <xdr:clientData/>
  </xdr:twoCellAnchor>
  <xdr:twoCellAnchor>
    <xdr:from>
      <xdr:col>7</xdr:col>
      <xdr:colOff>266700</xdr:colOff>
      <xdr:row>5</xdr:row>
      <xdr:rowOff>120650</xdr:rowOff>
    </xdr:from>
    <xdr:to>
      <xdr:col>10</xdr:col>
      <xdr:colOff>139700</xdr:colOff>
      <xdr:row>7</xdr:row>
      <xdr:rowOff>12700</xdr:rowOff>
    </xdr:to>
    <xdr:sp macro="" textlink="">
      <xdr:nvSpPr>
        <xdr:cNvPr id="24" name="TextBox 23">
          <a:extLst>
            <a:ext uri="{FF2B5EF4-FFF2-40B4-BE49-F238E27FC236}">
              <a16:creationId xmlns:a16="http://schemas.microsoft.com/office/drawing/2014/main" id="{830BB8BE-77CD-4B04-B5E7-714400AE86C8}"/>
            </a:ext>
          </a:extLst>
        </xdr:cNvPr>
        <xdr:cNvSpPr txBox="1"/>
      </xdr:nvSpPr>
      <xdr:spPr>
        <a:xfrm>
          <a:off x="4533900" y="1041400"/>
          <a:ext cx="17018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panose="020B0604020202020204" pitchFamily="34" charset="0"/>
              <a:ea typeface="ADLaM Display" panose="02010000000000000000" pitchFamily="2" charset="0"/>
              <a:cs typeface="Arial" panose="020B0604020202020204" pitchFamily="34" charset="0"/>
            </a:rPr>
            <a:t>TOTAL</a:t>
          </a:r>
          <a:r>
            <a:rPr lang="en-US" sz="1200" b="1" baseline="0">
              <a:latin typeface="Arial" panose="020B0604020202020204" pitchFamily="34" charset="0"/>
              <a:ea typeface="ADLaM Display" panose="02010000000000000000" pitchFamily="2" charset="0"/>
              <a:cs typeface="Arial" panose="020B0604020202020204" pitchFamily="34" charset="0"/>
            </a:rPr>
            <a:t> </a:t>
          </a:r>
          <a:r>
            <a:rPr lang="en-US" sz="1200" b="1" baseline="0">
              <a:solidFill>
                <a:schemeClr val="bg1"/>
              </a:solidFill>
              <a:latin typeface="Arial" panose="020B0604020202020204" pitchFamily="34" charset="0"/>
              <a:ea typeface="ADLaM Display" panose="02010000000000000000" pitchFamily="2" charset="0"/>
              <a:cs typeface="Arial" panose="020B0604020202020204" pitchFamily="34" charset="0"/>
            </a:rPr>
            <a:t>UNIT SOLD</a:t>
          </a:r>
          <a:endParaRPr lang="en-US" sz="1200" b="1">
            <a:solidFill>
              <a:schemeClr val="bg1"/>
            </a:solidFill>
            <a:latin typeface="Arial" panose="020B0604020202020204" pitchFamily="34" charset="0"/>
            <a:ea typeface="ADLaM Display" panose="02010000000000000000" pitchFamily="2" charset="0"/>
            <a:cs typeface="Arial" panose="020B0604020202020204" pitchFamily="34" charset="0"/>
          </a:endParaRPr>
        </a:p>
      </xdr:txBody>
    </xdr:sp>
    <xdr:clientData/>
  </xdr:twoCellAnchor>
  <xdr:twoCellAnchor>
    <xdr:from>
      <xdr:col>7</xdr:col>
      <xdr:colOff>332317</xdr:colOff>
      <xdr:row>7</xdr:row>
      <xdr:rowOff>76200</xdr:rowOff>
    </xdr:from>
    <xdr:to>
      <xdr:col>9</xdr:col>
      <xdr:colOff>529167</xdr:colOff>
      <xdr:row>11</xdr:row>
      <xdr:rowOff>57150</xdr:rowOff>
    </xdr:to>
    <xdr:sp macro="" textlink="'KPI''S'!E4">
      <xdr:nvSpPr>
        <xdr:cNvPr id="25" name="TextBox 24">
          <a:extLst>
            <a:ext uri="{FF2B5EF4-FFF2-40B4-BE49-F238E27FC236}">
              <a16:creationId xmlns:a16="http://schemas.microsoft.com/office/drawing/2014/main" id="{0D63F8B8-CCE0-462D-9EFA-5A4037CAE45F}"/>
            </a:ext>
          </a:extLst>
        </xdr:cNvPr>
        <xdr:cNvSpPr txBox="1"/>
      </xdr:nvSpPr>
      <xdr:spPr>
        <a:xfrm>
          <a:off x="4599517" y="1365250"/>
          <a:ext cx="1416050"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80A2FB6-7C17-416D-80D6-6BD56497C161}" type="TxLink">
            <a:rPr lang="en-US" sz="2400" b="1">
              <a:solidFill>
                <a:schemeClr val="bg1"/>
              </a:solidFill>
              <a:latin typeface="Arial" panose="020B0604020202020204" pitchFamily="34" charset="0"/>
              <a:ea typeface="ADLaM Display" panose="02010000000000000000" pitchFamily="2" charset="0"/>
              <a:cs typeface="Arial" panose="020B0604020202020204" pitchFamily="34" charset="0"/>
            </a:rPr>
            <a:pPr marL="0" indent="0" algn="ctr"/>
            <a:t>3077 K</a:t>
          </a:fld>
          <a:endParaRPr lang="en-US" sz="2400" b="1">
            <a:solidFill>
              <a:schemeClr val="bg1"/>
            </a:solidFill>
            <a:latin typeface="Arial" panose="020B0604020202020204" pitchFamily="34" charset="0"/>
            <a:ea typeface="ADLaM Display" panose="02010000000000000000" pitchFamily="2" charset="0"/>
            <a:cs typeface="Arial" panose="020B0604020202020204" pitchFamily="34" charset="0"/>
          </a:endParaRPr>
        </a:p>
      </xdr:txBody>
    </xdr:sp>
    <xdr:clientData/>
  </xdr:twoCellAnchor>
  <xdr:twoCellAnchor>
    <xdr:from>
      <xdr:col>10</xdr:col>
      <xdr:colOff>203200</xdr:colOff>
      <xdr:row>5</xdr:row>
      <xdr:rowOff>107950</xdr:rowOff>
    </xdr:from>
    <xdr:to>
      <xdr:col>13</xdr:col>
      <xdr:colOff>63500</xdr:colOff>
      <xdr:row>7</xdr:row>
      <xdr:rowOff>0</xdr:rowOff>
    </xdr:to>
    <xdr:sp macro="" textlink="">
      <xdr:nvSpPr>
        <xdr:cNvPr id="26" name="TextBox 25">
          <a:extLst>
            <a:ext uri="{FF2B5EF4-FFF2-40B4-BE49-F238E27FC236}">
              <a16:creationId xmlns:a16="http://schemas.microsoft.com/office/drawing/2014/main" id="{9F601558-6B92-4B22-AA1F-4B2321F873C8}"/>
            </a:ext>
          </a:extLst>
        </xdr:cNvPr>
        <xdr:cNvSpPr txBox="1"/>
      </xdr:nvSpPr>
      <xdr:spPr>
        <a:xfrm>
          <a:off x="6299200" y="1028700"/>
          <a:ext cx="16891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panose="020B0604020202020204" pitchFamily="34" charset="0"/>
              <a:ea typeface="ADLaM Display" panose="02010000000000000000" pitchFamily="2" charset="0"/>
              <a:cs typeface="Arial" panose="020B0604020202020204" pitchFamily="34" charset="0"/>
            </a:rPr>
            <a:t>Avg</a:t>
          </a:r>
          <a:r>
            <a:rPr lang="en-US" sz="1200" b="1" baseline="0">
              <a:solidFill>
                <a:schemeClr val="bg1"/>
              </a:solidFill>
              <a:latin typeface="Arial" panose="020B0604020202020204" pitchFamily="34" charset="0"/>
              <a:ea typeface="ADLaM Display" panose="02010000000000000000" pitchFamily="2" charset="0"/>
              <a:cs typeface="Arial" panose="020B0604020202020204" pitchFamily="34" charset="0"/>
            </a:rPr>
            <a:t> SELLING PRICE</a:t>
          </a:r>
          <a:endParaRPr lang="en-US" sz="1200" b="1">
            <a:solidFill>
              <a:schemeClr val="bg1"/>
            </a:solidFill>
            <a:latin typeface="Arial" panose="020B0604020202020204" pitchFamily="34" charset="0"/>
            <a:ea typeface="ADLaM Display" panose="02010000000000000000" pitchFamily="2" charset="0"/>
            <a:cs typeface="Arial" panose="020B0604020202020204" pitchFamily="34" charset="0"/>
          </a:endParaRPr>
        </a:p>
      </xdr:txBody>
    </xdr:sp>
    <xdr:clientData/>
  </xdr:twoCellAnchor>
  <xdr:twoCellAnchor>
    <xdr:from>
      <xdr:col>10</xdr:col>
      <xdr:colOff>315384</xdr:colOff>
      <xdr:row>7</xdr:row>
      <xdr:rowOff>88900</xdr:rowOff>
    </xdr:from>
    <xdr:to>
      <xdr:col>12</xdr:col>
      <xdr:colOff>512234</xdr:colOff>
      <xdr:row>10</xdr:row>
      <xdr:rowOff>31750</xdr:rowOff>
    </xdr:to>
    <xdr:sp macro="" textlink="'KPI''S'!G4">
      <xdr:nvSpPr>
        <xdr:cNvPr id="27" name="TextBox 26">
          <a:extLst>
            <a:ext uri="{FF2B5EF4-FFF2-40B4-BE49-F238E27FC236}">
              <a16:creationId xmlns:a16="http://schemas.microsoft.com/office/drawing/2014/main" id="{44C70054-4F72-42B2-962C-98979EC68DDC}"/>
            </a:ext>
          </a:extLst>
        </xdr:cNvPr>
        <xdr:cNvSpPr txBox="1"/>
      </xdr:nvSpPr>
      <xdr:spPr>
        <a:xfrm>
          <a:off x="6411384" y="1377950"/>
          <a:ext cx="14160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4DBF011-F6A2-4104-8F2E-F218A7006FFC}" type="TxLink">
            <a:rPr lang="en-US" sz="2400" b="1">
              <a:solidFill>
                <a:schemeClr val="bg1"/>
              </a:solidFill>
              <a:latin typeface="Arial" panose="020B0604020202020204" pitchFamily="34" charset="0"/>
              <a:ea typeface="ADLaM Display" panose="02010000000000000000" pitchFamily="2" charset="0"/>
              <a:cs typeface="Arial" panose="020B0604020202020204" pitchFamily="34" charset="0"/>
            </a:rPr>
            <a:pPr marL="0" indent="0" algn="ctr"/>
            <a:t>₹2.00</a:t>
          </a:fld>
          <a:endParaRPr lang="en-US" sz="2400" b="1">
            <a:solidFill>
              <a:schemeClr val="bg1"/>
            </a:solidFill>
            <a:latin typeface="Arial" panose="020B0604020202020204" pitchFamily="34" charset="0"/>
            <a:ea typeface="ADLaM Display" panose="02010000000000000000" pitchFamily="2" charset="0"/>
            <a:cs typeface="Arial" panose="020B0604020202020204" pitchFamily="34" charset="0"/>
          </a:endParaRPr>
        </a:p>
      </xdr:txBody>
    </xdr:sp>
    <xdr:clientData/>
  </xdr:twoCellAnchor>
  <xdr:twoCellAnchor>
    <xdr:from>
      <xdr:col>13</xdr:col>
      <xdr:colOff>387350</xdr:colOff>
      <xdr:row>5</xdr:row>
      <xdr:rowOff>120650</xdr:rowOff>
    </xdr:from>
    <xdr:to>
      <xdr:col>16</xdr:col>
      <xdr:colOff>247650</xdr:colOff>
      <xdr:row>7</xdr:row>
      <xdr:rowOff>12700</xdr:rowOff>
    </xdr:to>
    <xdr:sp macro="" textlink="">
      <xdr:nvSpPr>
        <xdr:cNvPr id="30" name="TextBox 29">
          <a:extLst>
            <a:ext uri="{FF2B5EF4-FFF2-40B4-BE49-F238E27FC236}">
              <a16:creationId xmlns:a16="http://schemas.microsoft.com/office/drawing/2014/main" id="{7F4B8DC5-1E49-49C3-BD92-4517D99A2181}"/>
            </a:ext>
          </a:extLst>
        </xdr:cNvPr>
        <xdr:cNvSpPr txBox="1"/>
      </xdr:nvSpPr>
      <xdr:spPr>
        <a:xfrm>
          <a:off x="8312150" y="1041400"/>
          <a:ext cx="16891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panose="020B0604020202020204" pitchFamily="34" charset="0"/>
              <a:ea typeface="ADLaM Display" panose="02010000000000000000" pitchFamily="2" charset="0"/>
              <a:cs typeface="Arial" panose="020B0604020202020204" pitchFamily="34" charset="0"/>
            </a:rPr>
            <a:t>TOP</a:t>
          </a:r>
          <a:r>
            <a:rPr lang="en-US" sz="1200" b="1" baseline="0">
              <a:solidFill>
                <a:schemeClr val="bg1"/>
              </a:solidFill>
              <a:latin typeface="Arial" panose="020B0604020202020204" pitchFamily="34" charset="0"/>
              <a:ea typeface="ADLaM Display" panose="02010000000000000000" pitchFamily="2" charset="0"/>
              <a:cs typeface="Arial" panose="020B0604020202020204" pitchFamily="34" charset="0"/>
            </a:rPr>
            <a:t> PRODUCT</a:t>
          </a:r>
          <a:endParaRPr lang="en-US" sz="1200" b="1">
            <a:solidFill>
              <a:schemeClr val="bg1"/>
            </a:solidFill>
            <a:latin typeface="Arial" panose="020B0604020202020204" pitchFamily="34" charset="0"/>
            <a:ea typeface="ADLaM Display" panose="02010000000000000000" pitchFamily="2" charset="0"/>
            <a:cs typeface="Arial" panose="020B0604020202020204" pitchFamily="34" charset="0"/>
          </a:endParaRPr>
        </a:p>
      </xdr:txBody>
    </xdr:sp>
    <xdr:clientData/>
  </xdr:twoCellAnchor>
  <xdr:twoCellAnchor>
    <xdr:from>
      <xdr:col>13</xdr:col>
      <xdr:colOff>317500</xdr:colOff>
      <xdr:row>7</xdr:row>
      <xdr:rowOff>31750</xdr:rowOff>
    </xdr:from>
    <xdr:to>
      <xdr:col>16</xdr:col>
      <xdr:colOff>19050</xdr:colOff>
      <xdr:row>11</xdr:row>
      <xdr:rowOff>44450</xdr:rowOff>
    </xdr:to>
    <xdr:sp macro="" textlink="'KPI''S'!H4">
      <xdr:nvSpPr>
        <xdr:cNvPr id="31" name="TextBox 30">
          <a:extLst>
            <a:ext uri="{FF2B5EF4-FFF2-40B4-BE49-F238E27FC236}">
              <a16:creationId xmlns:a16="http://schemas.microsoft.com/office/drawing/2014/main" id="{E52EF020-ACE0-44A0-8D1D-7F38CE86674A}"/>
            </a:ext>
          </a:extLst>
        </xdr:cNvPr>
        <xdr:cNvSpPr txBox="1"/>
      </xdr:nvSpPr>
      <xdr:spPr>
        <a:xfrm>
          <a:off x="8242300" y="1320800"/>
          <a:ext cx="1530350" cy="749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002095-067D-414D-A225-EBC114BA935A}" type="TxLink">
            <a:rPr lang="en-US" sz="1600" b="1">
              <a:solidFill>
                <a:schemeClr val="bg1"/>
              </a:solidFill>
              <a:latin typeface="Arial" panose="020B0604020202020204" pitchFamily="34" charset="0"/>
              <a:ea typeface="ADLaM Display" panose="02010000000000000000" pitchFamily="2" charset="0"/>
              <a:cs typeface="Arial" panose="020B0604020202020204" pitchFamily="34" charset="0"/>
            </a:rPr>
            <a:pPr marL="0" indent="0" algn="ctr"/>
            <a:t>Fruitee Fun (Orange)</a:t>
          </a:fld>
          <a:endParaRPr lang="en-US" sz="1600" b="1">
            <a:solidFill>
              <a:schemeClr val="bg1"/>
            </a:solidFill>
            <a:latin typeface="Arial" panose="020B0604020202020204" pitchFamily="34" charset="0"/>
            <a:ea typeface="ADLaM Display" panose="02010000000000000000" pitchFamily="2" charset="0"/>
            <a:cs typeface="Arial" panose="020B0604020202020204" pitchFamily="34" charset="0"/>
          </a:endParaRPr>
        </a:p>
      </xdr:txBody>
    </xdr:sp>
    <xdr:clientData/>
  </xdr:twoCellAnchor>
  <xdr:twoCellAnchor>
    <xdr:from>
      <xdr:col>4</xdr:col>
      <xdr:colOff>3175</xdr:colOff>
      <xdr:row>11</xdr:row>
      <xdr:rowOff>82550</xdr:rowOff>
    </xdr:from>
    <xdr:to>
      <xdr:col>10</xdr:col>
      <xdr:colOff>101600</xdr:colOff>
      <xdr:row>22</xdr:row>
      <xdr:rowOff>101600</xdr:rowOff>
    </xdr:to>
    <xdr:graphicFrame macro="">
      <xdr:nvGraphicFramePr>
        <xdr:cNvPr id="32" name="Chart 31">
          <a:extLst>
            <a:ext uri="{FF2B5EF4-FFF2-40B4-BE49-F238E27FC236}">
              <a16:creationId xmlns:a16="http://schemas.microsoft.com/office/drawing/2014/main" id="{1F9E356F-B36E-CA50-EEF8-DBFB5F3C8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130931</xdr:colOff>
      <xdr:row>11</xdr:row>
      <xdr:rowOff>31750</xdr:rowOff>
    </xdr:from>
    <xdr:to>
      <xdr:col>16</xdr:col>
      <xdr:colOff>209550</xdr:colOff>
      <xdr:row>23</xdr:row>
      <xdr:rowOff>25400</xdr:rowOff>
    </xdr:to>
    <xdr:graphicFrame macro="">
      <xdr:nvGraphicFramePr>
        <xdr:cNvPr id="33" name="Chart 32">
          <a:extLst>
            <a:ext uri="{FF2B5EF4-FFF2-40B4-BE49-F238E27FC236}">
              <a16:creationId xmlns:a16="http://schemas.microsoft.com/office/drawing/2014/main" id="{DA3B04AF-342B-0532-060B-6E7E8DB2B7A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6350</xdr:colOff>
      <xdr:row>22</xdr:row>
      <xdr:rowOff>165100</xdr:rowOff>
    </xdr:from>
    <xdr:to>
      <xdr:col>10</xdr:col>
      <xdr:colOff>514350</xdr:colOff>
      <xdr:row>36</xdr:row>
      <xdr:rowOff>120650</xdr:rowOff>
    </xdr:to>
    <xdr:graphicFrame macro="">
      <xdr:nvGraphicFramePr>
        <xdr:cNvPr id="35" name="Chart 34">
          <a:extLst>
            <a:ext uri="{FF2B5EF4-FFF2-40B4-BE49-F238E27FC236}">
              <a16:creationId xmlns:a16="http://schemas.microsoft.com/office/drawing/2014/main" id="{F3664D1A-CC05-4259-A7F6-F6CEDC44D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488950</xdr:colOff>
      <xdr:row>23</xdr:row>
      <xdr:rowOff>50800</xdr:rowOff>
    </xdr:from>
    <xdr:to>
      <xdr:col>16</xdr:col>
      <xdr:colOff>482600</xdr:colOff>
      <xdr:row>36</xdr:row>
      <xdr:rowOff>101600</xdr:rowOff>
    </xdr:to>
    <xdr:graphicFrame macro="">
      <xdr:nvGraphicFramePr>
        <xdr:cNvPr id="37" name="Chart 36">
          <a:extLst>
            <a:ext uri="{FF2B5EF4-FFF2-40B4-BE49-F238E27FC236}">
              <a16:creationId xmlns:a16="http://schemas.microsoft.com/office/drawing/2014/main" id="{9AABF20D-AF68-49E5-90B8-5D09CA82F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58738</xdr:colOff>
      <xdr:row>30</xdr:row>
      <xdr:rowOff>3969</xdr:rowOff>
    </xdr:from>
    <xdr:to>
      <xdr:col>2</xdr:col>
      <xdr:colOff>379413</xdr:colOff>
      <xdr:row>32</xdr:row>
      <xdr:rowOff>31750</xdr:rowOff>
    </xdr:to>
    <xdr:sp macro="" textlink="">
      <xdr:nvSpPr>
        <xdr:cNvPr id="39" name="TextBox 38">
          <a:hlinkClick xmlns:r="http://schemas.openxmlformats.org/officeDocument/2006/relationships" r:id="rId5"/>
          <a:extLst>
            <a:ext uri="{FF2B5EF4-FFF2-40B4-BE49-F238E27FC236}">
              <a16:creationId xmlns:a16="http://schemas.microsoft.com/office/drawing/2014/main" id="{A901BE5A-019E-4F28-5A0A-16416D0EFBB4}"/>
            </a:ext>
          </a:extLst>
        </xdr:cNvPr>
        <xdr:cNvSpPr txBox="1"/>
      </xdr:nvSpPr>
      <xdr:spPr>
        <a:xfrm>
          <a:off x="668338" y="5528469"/>
          <a:ext cx="930275" cy="396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INFO</a:t>
          </a:r>
        </a:p>
      </xdr:txBody>
    </xdr:sp>
    <xdr:clientData/>
  </xdr:twoCellAnchor>
  <xdr:twoCellAnchor>
    <xdr:from>
      <xdr:col>0</xdr:col>
      <xdr:colOff>334963</xdr:colOff>
      <xdr:row>15</xdr:row>
      <xdr:rowOff>64611</xdr:rowOff>
    </xdr:from>
    <xdr:to>
      <xdr:col>3</xdr:col>
      <xdr:colOff>103188</xdr:colOff>
      <xdr:row>17</xdr:row>
      <xdr:rowOff>131551</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D927284A-20D8-45AE-B4AA-704AEE73FD33}"/>
            </a:ext>
          </a:extLst>
        </xdr:cNvPr>
        <xdr:cNvSpPr txBox="1"/>
      </xdr:nvSpPr>
      <xdr:spPr>
        <a:xfrm>
          <a:off x="334963" y="2826861"/>
          <a:ext cx="1597025" cy="435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DATASET</a:t>
          </a:r>
        </a:p>
      </xdr:txBody>
    </xdr:sp>
    <xdr:clientData/>
  </xdr:twoCellAnchor>
  <xdr:twoCellAnchor>
    <xdr:from>
      <xdr:col>0</xdr:col>
      <xdr:colOff>569913</xdr:colOff>
      <xdr:row>5</xdr:row>
      <xdr:rowOff>60325</xdr:rowOff>
    </xdr:from>
    <xdr:to>
      <xdr:col>2</xdr:col>
      <xdr:colOff>477838</xdr:colOff>
      <xdr:row>7</xdr:row>
      <xdr:rowOff>120650</xdr:rowOff>
    </xdr:to>
    <xdr:sp macro="" textlink="">
      <xdr:nvSpPr>
        <xdr:cNvPr id="45" name="TextBox 44">
          <a:hlinkClick xmlns:r="http://schemas.openxmlformats.org/officeDocument/2006/relationships" r:id="rId7"/>
          <a:extLst>
            <a:ext uri="{FF2B5EF4-FFF2-40B4-BE49-F238E27FC236}">
              <a16:creationId xmlns:a16="http://schemas.microsoft.com/office/drawing/2014/main" id="{B0286D8C-FB64-40ED-8664-E6257BD43B52}"/>
            </a:ext>
          </a:extLst>
        </xdr:cNvPr>
        <xdr:cNvSpPr txBox="1"/>
      </xdr:nvSpPr>
      <xdr:spPr>
        <a:xfrm>
          <a:off x="569913" y="981075"/>
          <a:ext cx="11271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HOME</a:t>
          </a:r>
        </a:p>
      </xdr:txBody>
    </xdr:sp>
    <xdr:clientData/>
  </xdr:twoCellAnchor>
  <xdr:twoCellAnchor>
    <xdr:from>
      <xdr:col>1</xdr:col>
      <xdr:colOff>46038</xdr:colOff>
      <xdr:row>20</xdr:row>
      <xdr:rowOff>75618</xdr:rowOff>
    </xdr:from>
    <xdr:to>
      <xdr:col>2</xdr:col>
      <xdr:colOff>392113</xdr:colOff>
      <xdr:row>22</xdr:row>
      <xdr:rowOff>88054</xdr:rowOff>
    </xdr:to>
    <xdr:sp macro="" textlink="">
      <xdr:nvSpPr>
        <xdr:cNvPr id="47" name="TextBox 46">
          <a:hlinkClick xmlns:r="http://schemas.openxmlformats.org/officeDocument/2006/relationships" r:id="rId8"/>
          <a:extLst>
            <a:ext uri="{FF2B5EF4-FFF2-40B4-BE49-F238E27FC236}">
              <a16:creationId xmlns:a16="http://schemas.microsoft.com/office/drawing/2014/main" id="{54A1A481-0582-4B3D-BAF7-A1CBF36B0ED8}"/>
            </a:ext>
          </a:extLst>
        </xdr:cNvPr>
        <xdr:cNvSpPr txBox="1"/>
      </xdr:nvSpPr>
      <xdr:spPr>
        <a:xfrm>
          <a:off x="655638" y="3758618"/>
          <a:ext cx="955675" cy="380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KPI'S</a:t>
          </a:r>
        </a:p>
      </xdr:txBody>
    </xdr:sp>
    <xdr:clientData/>
  </xdr:twoCellAnchor>
  <xdr:twoCellAnchor>
    <xdr:from>
      <xdr:col>0</xdr:col>
      <xdr:colOff>66675</xdr:colOff>
      <xdr:row>10</xdr:row>
      <xdr:rowOff>71067</xdr:rowOff>
    </xdr:from>
    <xdr:to>
      <xdr:col>3</xdr:col>
      <xdr:colOff>371475</xdr:colOff>
      <xdr:row>12</xdr:row>
      <xdr:rowOff>126894</xdr:rowOff>
    </xdr:to>
    <xdr:sp macro="" textlink="">
      <xdr:nvSpPr>
        <xdr:cNvPr id="44" name="TextBox 43">
          <a:extLst>
            <a:ext uri="{FF2B5EF4-FFF2-40B4-BE49-F238E27FC236}">
              <a16:creationId xmlns:a16="http://schemas.microsoft.com/office/drawing/2014/main" id="{7A8E0552-9568-4793-81B3-B0F186FFA194}"/>
            </a:ext>
          </a:extLst>
        </xdr:cNvPr>
        <xdr:cNvSpPr txBox="1"/>
      </xdr:nvSpPr>
      <xdr:spPr>
        <a:xfrm>
          <a:off x="66675" y="1912567"/>
          <a:ext cx="2133600" cy="42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2060"/>
              </a:solidFill>
              <a:latin typeface="Arial Nova" panose="020B0504020202020204" pitchFamily="34" charset="0"/>
              <a:cs typeface="Aharoni" panose="020F0502020204030204" pitchFamily="2" charset="-79"/>
            </a:rPr>
            <a:t>DASHBOARD</a:t>
          </a:r>
          <a:endParaRPr lang="en-US" sz="1600" b="1">
            <a:solidFill>
              <a:srgbClr val="002060"/>
            </a:solidFill>
            <a:latin typeface="Arial Nova" panose="020B0504020202020204" pitchFamily="34" charset="0"/>
            <a:cs typeface="Aharoni" panose="020F0502020204030204" pitchFamily="2" charset="-79"/>
          </a:endParaRPr>
        </a:p>
      </xdr:txBody>
    </xdr:sp>
    <xdr:clientData/>
  </xdr:twoCellAnchor>
  <xdr:twoCellAnchor>
    <xdr:from>
      <xdr:col>3</xdr:col>
      <xdr:colOff>290911</xdr:colOff>
      <xdr:row>0</xdr:row>
      <xdr:rowOff>15921</xdr:rowOff>
    </xdr:from>
    <xdr:to>
      <xdr:col>3</xdr:col>
      <xdr:colOff>545913</xdr:colOff>
      <xdr:row>36</xdr:row>
      <xdr:rowOff>184556</xdr:rowOff>
    </xdr:to>
    <xdr:sp macro="" textlink="">
      <xdr:nvSpPr>
        <xdr:cNvPr id="49" name="Rectangle 48">
          <a:extLst>
            <a:ext uri="{FF2B5EF4-FFF2-40B4-BE49-F238E27FC236}">
              <a16:creationId xmlns:a16="http://schemas.microsoft.com/office/drawing/2014/main" id="{C4A352B4-58C3-3E21-DB85-E6EE921FF2D5}"/>
            </a:ext>
          </a:extLst>
        </xdr:cNvPr>
        <xdr:cNvSpPr/>
      </xdr:nvSpPr>
      <xdr:spPr>
        <a:xfrm>
          <a:off x="2120837" y="15921"/>
          <a:ext cx="255002" cy="6812674"/>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142875</xdr:colOff>
      <xdr:row>25</xdr:row>
      <xdr:rowOff>70221</xdr:rowOff>
    </xdr:from>
    <xdr:to>
      <xdr:col>3</xdr:col>
      <xdr:colOff>295275</xdr:colOff>
      <xdr:row>27</xdr:row>
      <xdr:rowOff>98002</xdr:rowOff>
    </xdr:to>
    <xdr:sp macro="" textlink="">
      <xdr:nvSpPr>
        <xdr:cNvPr id="52" name="TextBox 51">
          <a:hlinkClick xmlns:r="http://schemas.openxmlformats.org/officeDocument/2006/relationships" r:id="rId9"/>
          <a:extLst>
            <a:ext uri="{FF2B5EF4-FFF2-40B4-BE49-F238E27FC236}">
              <a16:creationId xmlns:a16="http://schemas.microsoft.com/office/drawing/2014/main" id="{2462A14E-16F5-4088-B5F0-AD15CB9F934C}"/>
            </a:ext>
          </a:extLst>
        </xdr:cNvPr>
        <xdr:cNvSpPr txBox="1"/>
      </xdr:nvSpPr>
      <xdr:spPr>
        <a:xfrm>
          <a:off x="142875" y="4673971"/>
          <a:ext cx="1981200" cy="396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dk1"/>
              </a:solidFill>
              <a:latin typeface="Arial Nova" panose="020B0504020202020204" pitchFamily="34" charset="0"/>
              <a:ea typeface="+mn-ea"/>
              <a:cs typeface="Aharoni" panose="020F0502020204030204" pitchFamily="2" charset="-79"/>
            </a:rPr>
            <a:t>PIVOT</a:t>
          </a:r>
          <a:r>
            <a:rPr lang="en-US" sz="1800" b="1">
              <a:solidFill>
                <a:schemeClr val="dk1"/>
              </a:solidFill>
              <a:latin typeface="Arial Nova" panose="020B0504020202020204" pitchFamily="34" charset="0"/>
              <a:ea typeface="+mn-ea"/>
              <a:cs typeface="Aharoni" panose="020F0502020204030204" pitchFamily="2" charset="-79"/>
            </a:rPr>
            <a:t> </a:t>
          </a:r>
          <a:r>
            <a:rPr lang="en-US" sz="2000" b="1">
              <a:solidFill>
                <a:schemeClr val="dk1"/>
              </a:solidFill>
              <a:latin typeface="Arial Nova" panose="020B0504020202020204" pitchFamily="34" charset="0"/>
              <a:ea typeface="+mn-ea"/>
              <a:cs typeface="Aharoni" panose="020F0502020204030204" pitchFamily="2" charset="-79"/>
            </a:rPr>
            <a:t>TABLES</a:t>
          </a:r>
          <a:endParaRPr lang="en-US" sz="1800" b="1">
            <a:solidFill>
              <a:schemeClr val="dk1"/>
            </a:solidFill>
            <a:latin typeface="Arial Nova" panose="020B0504020202020204" pitchFamily="34" charset="0"/>
            <a:ea typeface="+mn-ea"/>
            <a:cs typeface="Aharoni" panose="020F0502020204030204" pitchFamily="2" charset="-79"/>
          </a:endParaRPr>
        </a:p>
      </xdr:txBody>
    </xdr:sp>
    <xdr:clientData/>
  </xdr:twoCellAnchor>
  <xdr:twoCellAnchor editAs="oneCell">
    <xdr:from>
      <xdr:col>1</xdr:col>
      <xdr:colOff>15875</xdr:colOff>
      <xdr:row>0</xdr:row>
      <xdr:rowOff>0</xdr:rowOff>
    </xdr:from>
    <xdr:to>
      <xdr:col>2</xdr:col>
      <xdr:colOff>422275</xdr:colOff>
      <xdr:row>4</xdr:row>
      <xdr:rowOff>146050</xdr:rowOff>
    </xdr:to>
    <xdr:pic>
      <xdr:nvPicPr>
        <xdr:cNvPr id="53" name="Picture 52">
          <a:extLst>
            <a:ext uri="{FF2B5EF4-FFF2-40B4-BE49-F238E27FC236}">
              <a16:creationId xmlns:a16="http://schemas.microsoft.com/office/drawing/2014/main" id="{9D730404-0DC0-457B-8D3A-5F162A40AFFA}"/>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24924" t="12820" r="25846" b="12927"/>
        <a:stretch>
          <a:fillRect/>
        </a:stretch>
      </xdr:blipFill>
      <xdr:spPr>
        <a:xfrm>
          <a:off x="625475" y="0"/>
          <a:ext cx="1016000" cy="882650"/>
        </a:xfrm>
        <a:prstGeom prst="rect">
          <a:avLst/>
        </a:prstGeom>
      </xdr:spPr>
    </xdr:pic>
    <xdr:clientData/>
  </xdr:twoCellAnchor>
  <xdr:twoCellAnchor editAs="oneCell">
    <xdr:from>
      <xdr:col>16</xdr:col>
      <xdr:colOff>590550</xdr:colOff>
      <xdr:row>4</xdr:row>
      <xdr:rowOff>165101</xdr:rowOff>
    </xdr:from>
    <xdr:to>
      <xdr:col>20</xdr:col>
      <xdr:colOff>139700</xdr:colOff>
      <xdr:row>8</xdr:row>
      <xdr:rowOff>57150</xdr:rowOff>
    </xdr:to>
    <mc:AlternateContent xmlns:mc="http://schemas.openxmlformats.org/markup-compatibility/2006" xmlns:a14="http://schemas.microsoft.com/office/drawing/2010/main">
      <mc:Choice Requires="a14">
        <xdr:graphicFrame macro="">
          <xdr:nvGraphicFramePr>
            <xdr:cNvPr id="55" name="Product Category">
              <a:extLst>
                <a:ext uri="{FF2B5EF4-FFF2-40B4-BE49-F238E27FC236}">
                  <a16:creationId xmlns:a16="http://schemas.microsoft.com/office/drawing/2014/main" id="{CA130AA4-0D76-4FB8-BE05-7B7353442A3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335856" y="890815"/>
              <a:ext cx="1985477" cy="617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8</xdr:row>
      <xdr:rowOff>177800</xdr:rowOff>
    </xdr:from>
    <xdr:to>
      <xdr:col>20</xdr:col>
      <xdr:colOff>133350</xdr:colOff>
      <xdr:row>22</xdr:row>
      <xdr:rowOff>123825</xdr:rowOff>
    </xdr:to>
    <mc:AlternateContent xmlns:mc="http://schemas.openxmlformats.org/markup-compatibility/2006" xmlns:a14="http://schemas.microsoft.com/office/drawing/2010/main">
      <mc:Choice Requires="a14">
        <xdr:graphicFrame macro="">
          <xdr:nvGraphicFramePr>
            <xdr:cNvPr id="56" name="Product Name">
              <a:extLst>
                <a:ext uri="{FF2B5EF4-FFF2-40B4-BE49-F238E27FC236}">
                  <a16:creationId xmlns:a16="http://schemas.microsoft.com/office/drawing/2014/main" id="{AA876EA9-39F9-48E3-ACA6-AF145A39CAF5}"/>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0354388" y="1629229"/>
              <a:ext cx="1960595"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6350</xdr:colOff>
      <xdr:row>22</xdr:row>
      <xdr:rowOff>177800</xdr:rowOff>
    </xdr:from>
    <xdr:to>
      <xdr:col>20</xdr:col>
      <xdr:colOff>127000</xdr:colOff>
      <xdr:row>36</xdr:row>
      <xdr:rowOff>123825</xdr:rowOff>
    </xdr:to>
    <mc:AlternateContent xmlns:mc="http://schemas.openxmlformats.org/markup-compatibility/2006" xmlns:a14="http://schemas.microsoft.com/office/drawing/2010/main">
      <mc:Choice Requires="a14">
        <xdr:graphicFrame macro="">
          <xdr:nvGraphicFramePr>
            <xdr:cNvPr id="57" name="State">
              <a:extLst>
                <a:ext uri="{FF2B5EF4-FFF2-40B4-BE49-F238E27FC236}">
                  <a16:creationId xmlns:a16="http://schemas.microsoft.com/office/drawing/2014/main" id="{CDA5C799-5A65-4286-9161-14E93D49A40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360738" y="4169229"/>
              <a:ext cx="1947895"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228600</xdr:colOff>
      <xdr:row>36</xdr:row>
      <xdr:rowOff>127000</xdr:rowOff>
    </xdr:to>
    <xdr:sp macro="" textlink="">
      <xdr:nvSpPr>
        <xdr:cNvPr id="17" name="Rectangle 16">
          <a:extLst>
            <a:ext uri="{FF2B5EF4-FFF2-40B4-BE49-F238E27FC236}">
              <a16:creationId xmlns:a16="http://schemas.microsoft.com/office/drawing/2014/main" id="{0D6B1D87-C00F-4136-93F5-AB07FB3394F5}"/>
            </a:ext>
          </a:extLst>
        </xdr:cNvPr>
        <xdr:cNvSpPr/>
      </xdr:nvSpPr>
      <xdr:spPr>
        <a:xfrm>
          <a:off x="0" y="0"/>
          <a:ext cx="2343150" cy="67564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15</xdr:row>
      <xdr:rowOff>50800</xdr:rowOff>
    </xdr:from>
    <xdr:to>
      <xdr:col>3</xdr:col>
      <xdr:colOff>19050</xdr:colOff>
      <xdr:row>17</xdr:row>
      <xdr:rowOff>158750</xdr:rowOff>
    </xdr:to>
    <xdr:sp macro="" textlink="">
      <xdr:nvSpPr>
        <xdr:cNvPr id="18" name="Rectangle: Rounded Corners 17">
          <a:extLst>
            <a:ext uri="{FF2B5EF4-FFF2-40B4-BE49-F238E27FC236}">
              <a16:creationId xmlns:a16="http://schemas.microsoft.com/office/drawing/2014/main" id="{4F5BBC1E-508A-4970-8BD9-59313896694A}"/>
            </a:ext>
          </a:extLst>
        </xdr:cNvPr>
        <xdr:cNvSpPr/>
      </xdr:nvSpPr>
      <xdr:spPr>
        <a:xfrm>
          <a:off x="57150" y="2813050"/>
          <a:ext cx="2076450" cy="476250"/>
        </a:xfrm>
        <a:prstGeom prst="roundRect">
          <a:avLst/>
        </a:prstGeom>
        <a:solidFill>
          <a:schemeClr val="tx2">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615950</xdr:colOff>
      <xdr:row>30</xdr:row>
      <xdr:rowOff>3969</xdr:rowOff>
    </xdr:from>
    <xdr:to>
      <xdr:col>2</xdr:col>
      <xdr:colOff>136525</xdr:colOff>
      <xdr:row>32</xdr:row>
      <xdr:rowOff>31750</xdr:rowOff>
    </xdr:to>
    <xdr:sp macro="" textlink="">
      <xdr:nvSpPr>
        <xdr:cNvPr id="19" name="TextBox 18">
          <a:hlinkClick xmlns:r="http://schemas.openxmlformats.org/officeDocument/2006/relationships" r:id="rId1"/>
          <a:extLst>
            <a:ext uri="{FF2B5EF4-FFF2-40B4-BE49-F238E27FC236}">
              <a16:creationId xmlns:a16="http://schemas.microsoft.com/office/drawing/2014/main" id="{6D0ED769-BFC0-440F-8ECC-3CC0E74CB0B7}"/>
            </a:ext>
          </a:extLst>
        </xdr:cNvPr>
        <xdr:cNvSpPr txBox="1"/>
      </xdr:nvSpPr>
      <xdr:spPr>
        <a:xfrm>
          <a:off x="615950" y="5528469"/>
          <a:ext cx="930275" cy="396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INFO</a:t>
          </a:r>
        </a:p>
      </xdr:txBody>
    </xdr:sp>
    <xdr:clientData/>
  </xdr:twoCellAnchor>
  <xdr:twoCellAnchor>
    <xdr:from>
      <xdr:col>0</xdr:col>
      <xdr:colOff>282575</xdr:colOff>
      <xdr:row>15</xdr:row>
      <xdr:rowOff>64611</xdr:rowOff>
    </xdr:from>
    <xdr:to>
      <xdr:col>2</xdr:col>
      <xdr:colOff>469900</xdr:colOff>
      <xdr:row>17</xdr:row>
      <xdr:rowOff>131551</xdr:rowOff>
    </xdr:to>
    <xdr:sp macro="" textlink="">
      <xdr:nvSpPr>
        <xdr:cNvPr id="20" name="TextBox 19">
          <a:extLst>
            <a:ext uri="{FF2B5EF4-FFF2-40B4-BE49-F238E27FC236}">
              <a16:creationId xmlns:a16="http://schemas.microsoft.com/office/drawing/2014/main" id="{8F4ABD98-4F6B-430F-BFC2-5E0C171012E2}"/>
            </a:ext>
          </a:extLst>
        </xdr:cNvPr>
        <xdr:cNvSpPr txBox="1"/>
      </xdr:nvSpPr>
      <xdr:spPr>
        <a:xfrm>
          <a:off x="282575" y="2826861"/>
          <a:ext cx="1597025" cy="435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3366"/>
              </a:solidFill>
              <a:latin typeface="Arial Nova" panose="020B0504020202020204" pitchFamily="34" charset="0"/>
              <a:ea typeface="+mn-ea"/>
              <a:cs typeface="Aharoni" panose="020F0502020204030204" pitchFamily="2" charset="-79"/>
            </a:rPr>
            <a:t>DATASET</a:t>
          </a:r>
        </a:p>
      </xdr:txBody>
    </xdr:sp>
    <xdr:clientData/>
  </xdr:twoCellAnchor>
  <xdr:twoCellAnchor>
    <xdr:from>
      <xdr:col>0</xdr:col>
      <xdr:colOff>517525</xdr:colOff>
      <xdr:row>5</xdr:row>
      <xdr:rowOff>60325</xdr:rowOff>
    </xdr:from>
    <xdr:to>
      <xdr:col>2</xdr:col>
      <xdr:colOff>234950</xdr:colOff>
      <xdr:row>7</xdr:row>
      <xdr:rowOff>120650</xdr:rowOff>
    </xdr:to>
    <xdr:sp macro="" textlink="">
      <xdr:nvSpPr>
        <xdr:cNvPr id="21" name="TextBox 20">
          <a:hlinkClick xmlns:r="http://schemas.openxmlformats.org/officeDocument/2006/relationships" r:id="rId2"/>
          <a:extLst>
            <a:ext uri="{FF2B5EF4-FFF2-40B4-BE49-F238E27FC236}">
              <a16:creationId xmlns:a16="http://schemas.microsoft.com/office/drawing/2014/main" id="{CD9D4A7C-2094-4215-B777-F18F864B4FBE}"/>
            </a:ext>
          </a:extLst>
        </xdr:cNvPr>
        <xdr:cNvSpPr txBox="1"/>
      </xdr:nvSpPr>
      <xdr:spPr>
        <a:xfrm>
          <a:off x="517525" y="981075"/>
          <a:ext cx="11271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HOME</a:t>
          </a:r>
        </a:p>
      </xdr:txBody>
    </xdr:sp>
    <xdr:clientData/>
  </xdr:twoCellAnchor>
  <xdr:twoCellAnchor>
    <xdr:from>
      <xdr:col>0</xdr:col>
      <xdr:colOff>603250</xdr:colOff>
      <xdr:row>20</xdr:row>
      <xdr:rowOff>75618</xdr:rowOff>
    </xdr:from>
    <xdr:to>
      <xdr:col>2</xdr:col>
      <xdr:colOff>149225</xdr:colOff>
      <xdr:row>22</xdr:row>
      <xdr:rowOff>88054</xdr:rowOff>
    </xdr:to>
    <xdr:sp macro="" textlink="">
      <xdr:nvSpPr>
        <xdr:cNvPr id="22" name="TextBox 21">
          <a:hlinkClick xmlns:r="http://schemas.openxmlformats.org/officeDocument/2006/relationships" r:id="rId3"/>
          <a:extLst>
            <a:ext uri="{FF2B5EF4-FFF2-40B4-BE49-F238E27FC236}">
              <a16:creationId xmlns:a16="http://schemas.microsoft.com/office/drawing/2014/main" id="{055C542D-6D06-423F-B736-16B4B69D64DD}"/>
            </a:ext>
          </a:extLst>
        </xdr:cNvPr>
        <xdr:cNvSpPr txBox="1"/>
      </xdr:nvSpPr>
      <xdr:spPr>
        <a:xfrm>
          <a:off x="603250" y="3758618"/>
          <a:ext cx="955675" cy="380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KPI'S</a:t>
          </a:r>
        </a:p>
      </xdr:txBody>
    </xdr:sp>
    <xdr:clientData/>
  </xdr:twoCellAnchor>
  <xdr:twoCellAnchor>
    <xdr:from>
      <xdr:col>0</xdr:col>
      <xdr:colOff>14287</xdr:colOff>
      <xdr:row>10</xdr:row>
      <xdr:rowOff>71067</xdr:rowOff>
    </xdr:from>
    <xdr:to>
      <xdr:col>3</xdr:col>
      <xdr:colOff>33337</xdr:colOff>
      <xdr:row>12</xdr:row>
      <xdr:rowOff>126894</xdr:rowOff>
    </xdr:to>
    <xdr:sp macro="" textlink="">
      <xdr:nvSpPr>
        <xdr:cNvPr id="23" name="TextBox 22">
          <a:hlinkClick xmlns:r="http://schemas.openxmlformats.org/officeDocument/2006/relationships" r:id="rId4"/>
          <a:extLst>
            <a:ext uri="{FF2B5EF4-FFF2-40B4-BE49-F238E27FC236}">
              <a16:creationId xmlns:a16="http://schemas.microsoft.com/office/drawing/2014/main" id="{779D5C9B-5089-44B6-9810-B4D80E7105CA}"/>
            </a:ext>
          </a:extLst>
        </xdr:cNvPr>
        <xdr:cNvSpPr txBox="1"/>
      </xdr:nvSpPr>
      <xdr:spPr>
        <a:xfrm>
          <a:off x="14287" y="1912567"/>
          <a:ext cx="2133600" cy="42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ysClr val="windowText" lastClr="000000"/>
              </a:solidFill>
              <a:latin typeface="Arial Nova" panose="020B0504020202020204" pitchFamily="34" charset="0"/>
              <a:cs typeface="Aharoni" panose="020F0502020204030204" pitchFamily="2" charset="-79"/>
            </a:rPr>
            <a:t>DASHBOARD</a:t>
          </a:r>
          <a:endParaRPr lang="en-US" sz="1600" b="1">
            <a:solidFill>
              <a:sysClr val="windowText" lastClr="000000"/>
            </a:solidFill>
            <a:latin typeface="Arial Nova" panose="020B0504020202020204" pitchFamily="34" charset="0"/>
            <a:cs typeface="Aharoni" panose="020F0502020204030204" pitchFamily="2" charset="-79"/>
          </a:endParaRPr>
        </a:p>
      </xdr:txBody>
    </xdr:sp>
    <xdr:clientData/>
  </xdr:twoCellAnchor>
  <xdr:twoCellAnchor>
    <xdr:from>
      <xdr:col>2</xdr:col>
      <xdr:colOff>685800</xdr:colOff>
      <xdr:row>0</xdr:row>
      <xdr:rowOff>0</xdr:rowOff>
    </xdr:from>
    <xdr:to>
      <xdr:col>3</xdr:col>
      <xdr:colOff>251811</xdr:colOff>
      <xdr:row>36</xdr:row>
      <xdr:rowOff>138678</xdr:rowOff>
    </xdr:to>
    <xdr:sp macro="" textlink="">
      <xdr:nvSpPr>
        <xdr:cNvPr id="24" name="Rectangle 23">
          <a:extLst>
            <a:ext uri="{FF2B5EF4-FFF2-40B4-BE49-F238E27FC236}">
              <a16:creationId xmlns:a16="http://schemas.microsoft.com/office/drawing/2014/main" id="{74D10C71-82D9-415E-B230-E5A2B9717E42}"/>
            </a:ext>
          </a:extLst>
        </xdr:cNvPr>
        <xdr:cNvSpPr/>
      </xdr:nvSpPr>
      <xdr:spPr>
        <a:xfrm>
          <a:off x="2094706" y="0"/>
          <a:ext cx="270464" cy="6746647"/>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90487</xdr:colOff>
      <xdr:row>25</xdr:row>
      <xdr:rowOff>70221</xdr:rowOff>
    </xdr:from>
    <xdr:to>
      <xdr:col>2</xdr:col>
      <xdr:colOff>661987</xdr:colOff>
      <xdr:row>27</xdr:row>
      <xdr:rowOff>98002</xdr:rowOff>
    </xdr:to>
    <xdr:sp macro="" textlink="">
      <xdr:nvSpPr>
        <xdr:cNvPr id="25" name="TextBox 24">
          <a:hlinkClick xmlns:r="http://schemas.openxmlformats.org/officeDocument/2006/relationships" r:id="rId5"/>
          <a:extLst>
            <a:ext uri="{FF2B5EF4-FFF2-40B4-BE49-F238E27FC236}">
              <a16:creationId xmlns:a16="http://schemas.microsoft.com/office/drawing/2014/main" id="{EFE8DCFA-2DA6-4C42-B496-90360DAFFE9C}"/>
            </a:ext>
          </a:extLst>
        </xdr:cNvPr>
        <xdr:cNvSpPr txBox="1"/>
      </xdr:nvSpPr>
      <xdr:spPr>
        <a:xfrm>
          <a:off x="90487" y="4673971"/>
          <a:ext cx="1981200" cy="396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dk1"/>
              </a:solidFill>
              <a:latin typeface="Arial Nova" panose="020B0504020202020204" pitchFamily="34" charset="0"/>
              <a:ea typeface="+mn-ea"/>
              <a:cs typeface="Aharoni" panose="020F0502020204030204" pitchFamily="2" charset="-79"/>
            </a:rPr>
            <a:t>PIVOT</a:t>
          </a:r>
          <a:r>
            <a:rPr lang="en-US" sz="1800" b="1">
              <a:solidFill>
                <a:schemeClr val="dk1"/>
              </a:solidFill>
              <a:latin typeface="Arial Nova" panose="020B0504020202020204" pitchFamily="34" charset="0"/>
              <a:ea typeface="+mn-ea"/>
              <a:cs typeface="Aharoni" panose="020F0502020204030204" pitchFamily="2" charset="-79"/>
            </a:rPr>
            <a:t> </a:t>
          </a:r>
          <a:r>
            <a:rPr lang="en-US" sz="2000" b="1">
              <a:solidFill>
                <a:schemeClr val="dk1"/>
              </a:solidFill>
              <a:latin typeface="Arial Nova" panose="020B0504020202020204" pitchFamily="34" charset="0"/>
              <a:ea typeface="+mn-ea"/>
              <a:cs typeface="Aharoni" panose="020F0502020204030204" pitchFamily="2" charset="-79"/>
            </a:rPr>
            <a:t>TABLES</a:t>
          </a:r>
          <a:endParaRPr lang="en-US" sz="1800" b="1">
            <a:solidFill>
              <a:schemeClr val="dk1"/>
            </a:solidFill>
            <a:latin typeface="Arial Nova" panose="020B0504020202020204" pitchFamily="34" charset="0"/>
            <a:ea typeface="+mn-ea"/>
            <a:cs typeface="Aharoni" panose="020F0502020204030204" pitchFamily="2" charset="-79"/>
          </a:endParaRPr>
        </a:p>
      </xdr:txBody>
    </xdr:sp>
    <xdr:clientData/>
  </xdr:twoCellAnchor>
  <xdr:twoCellAnchor editAs="oneCell">
    <xdr:from>
      <xdr:col>0</xdr:col>
      <xdr:colOff>573087</xdr:colOff>
      <xdr:row>0</xdr:row>
      <xdr:rowOff>0</xdr:rowOff>
    </xdr:from>
    <xdr:to>
      <xdr:col>2</xdr:col>
      <xdr:colOff>179387</xdr:colOff>
      <xdr:row>4</xdr:row>
      <xdr:rowOff>146050</xdr:rowOff>
    </xdr:to>
    <xdr:pic>
      <xdr:nvPicPr>
        <xdr:cNvPr id="26" name="Picture 25">
          <a:extLst>
            <a:ext uri="{FF2B5EF4-FFF2-40B4-BE49-F238E27FC236}">
              <a16:creationId xmlns:a16="http://schemas.microsoft.com/office/drawing/2014/main" id="{C70E77C0-5463-4646-8070-07938A2334CA}"/>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24924" t="12820" r="25846" b="12927"/>
        <a:stretch>
          <a:fillRect/>
        </a:stretch>
      </xdr:blipFill>
      <xdr:spPr>
        <a:xfrm>
          <a:off x="573087" y="0"/>
          <a:ext cx="1016000" cy="882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546100</xdr:colOff>
      <xdr:row>36</xdr:row>
      <xdr:rowOff>127000</xdr:rowOff>
    </xdr:to>
    <xdr:sp macro="" textlink="">
      <xdr:nvSpPr>
        <xdr:cNvPr id="10" name="Rectangle 9">
          <a:extLst>
            <a:ext uri="{FF2B5EF4-FFF2-40B4-BE49-F238E27FC236}">
              <a16:creationId xmlns:a16="http://schemas.microsoft.com/office/drawing/2014/main" id="{442AE998-3672-4576-A72A-3940135D3248}"/>
            </a:ext>
          </a:extLst>
        </xdr:cNvPr>
        <xdr:cNvSpPr/>
      </xdr:nvSpPr>
      <xdr:spPr>
        <a:xfrm>
          <a:off x="0" y="0"/>
          <a:ext cx="2343150" cy="67564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20</xdr:row>
      <xdr:rowOff>50800</xdr:rowOff>
    </xdr:from>
    <xdr:to>
      <xdr:col>2</xdr:col>
      <xdr:colOff>355600</xdr:colOff>
      <xdr:row>22</xdr:row>
      <xdr:rowOff>158750</xdr:rowOff>
    </xdr:to>
    <xdr:sp macro="" textlink="">
      <xdr:nvSpPr>
        <xdr:cNvPr id="11" name="Rectangle: Rounded Corners 10">
          <a:extLst>
            <a:ext uri="{FF2B5EF4-FFF2-40B4-BE49-F238E27FC236}">
              <a16:creationId xmlns:a16="http://schemas.microsoft.com/office/drawing/2014/main" id="{0FE393BB-741A-4B8E-82DB-5B89A6B815B3}"/>
            </a:ext>
          </a:extLst>
        </xdr:cNvPr>
        <xdr:cNvSpPr/>
      </xdr:nvSpPr>
      <xdr:spPr>
        <a:xfrm>
          <a:off x="76200" y="3733800"/>
          <a:ext cx="2076450" cy="476250"/>
        </a:xfrm>
        <a:prstGeom prst="roundRect">
          <a:avLst/>
        </a:prstGeom>
        <a:solidFill>
          <a:schemeClr val="tx2">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6350</xdr:colOff>
      <xdr:row>30</xdr:row>
      <xdr:rowOff>3969</xdr:rowOff>
    </xdr:from>
    <xdr:to>
      <xdr:col>1</xdr:col>
      <xdr:colOff>936625</xdr:colOff>
      <xdr:row>32</xdr:row>
      <xdr:rowOff>31750</xdr:rowOff>
    </xdr:to>
    <xdr:sp macro="" textlink="">
      <xdr:nvSpPr>
        <xdr:cNvPr id="12" name="TextBox 11">
          <a:hlinkClick xmlns:r="http://schemas.openxmlformats.org/officeDocument/2006/relationships" r:id="rId1"/>
          <a:extLst>
            <a:ext uri="{FF2B5EF4-FFF2-40B4-BE49-F238E27FC236}">
              <a16:creationId xmlns:a16="http://schemas.microsoft.com/office/drawing/2014/main" id="{E1E1AABD-23E0-4DB9-B178-3F5D0C063547}"/>
            </a:ext>
          </a:extLst>
        </xdr:cNvPr>
        <xdr:cNvSpPr txBox="1"/>
      </xdr:nvSpPr>
      <xdr:spPr>
        <a:xfrm>
          <a:off x="615950" y="5528469"/>
          <a:ext cx="930275" cy="396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INFO</a:t>
          </a:r>
        </a:p>
      </xdr:txBody>
    </xdr:sp>
    <xdr:clientData/>
  </xdr:twoCellAnchor>
  <xdr:twoCellAnchor>
    <xdr:from>
      <xdr:col>0</xdr:col>
      <xdr:colOff>282575</xdr:colOff>
      <xdr:row>15</xdr:row>
      <xdr:rowOff>64611</xdr:rowOff>
    </xdr:from>
    <xdr:to>
      <xdr:col>2</xdr:col>
      <xdr:colOff>82550</xdr:colOff>
      <xdr:row>17</xdr:row>
      <xdr:rowOff>131551</xdr:rowOff>
    </xdr:to>
    <xdr:sp macro="" textlink="">
      <xdr:nvSpPr>
        <xdr:cNvPr id="13" name="TextBox 12">
          <a:hlinkClick xmlns:r="http://schemas.openxmlformats.org/officeDocument/2006/relationships" r:id="rId2"/>
          <a:extLst>
            <a:ext uri="{FF2B5EF4-FFF2-40B4-BE49-F238E27FC236}">
              <a16:creationId xmlns:a16="http://schemas.microsoft.com/office/drawing/2014/main" id="{25660AE7-A1FD-4423-B983-CDDDCD63D0F4}"/>
            </a:ext>
          </a:extLst>
        </xdr:cNvPr>
        <xdr:cNvSpPr txBox="1"/>
      </xdr:nvSpPr>
      <xdr:spPr>
        <a:xfrm>
          <a:off x="282575" y="2826861"/>
          <a:ext cx="1597025" cy="435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DATASET</a:t>
          </a:r>
        </a:p>
      </xdr:txBody>
    </xdr:sp>
    <xdr:clientData/>
  </xdr:twoCellAnchor>
  <xdr:twoCellAnchor>
    <xdr:from>
      <xdr:col>0</xdr:col>
      <xdr:colOff>517525</xdr:colOff>
      <xdr:row>5</xdr:row>
      <xdr:rowOff>60325</xdr:rowOff>
    </xdr:from>
    <xdr:to>
      <xdr:col>1</xdr:col>
      <xdr:colOff>1035050</xdr:colOff>
      <xdr:row>7</xdr:row>
      <xdr:rowOff>120650</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1581033D-0593-4466-A65A-23B1DEFAE978}"/>
            </a:ext>
          </a:extLst>
        </xdr:cNvPr>
        <xdr:cNvSpPr txBox="1"/>
      </xdr:nvSpPr>
      <xdr:spPr>
        <a:xfrm>
          <a:off x="517525" y="981075"/>
          <a:ext cx="11271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HOME</a:t>
          </a:r>
        </a:p>
      </xdr:txBody>
    </xdr:sp>
    <xdr:clientData/>
  </xdr:twoCellAnchor>
  <xdr:twoCellAnchor>
    <xdr:from>
      <xdr:col>0</xdr:col>
      <xdr:colOff>603250</xdr:colOff>
      <xdr:row>20</xdr:row>
      <xdr:rowOff>75618</xdr:rowOff>
    </xdr:from>
    <xdr:to>
      <xdr:col>1</xdr:col>
      <xdr:colOff>949325</xdr:colOff>
      <xdr:row>22</xdr:row>
      <xdr:rowOff>88054</xdr:rowOff>
    </xdr:to>
    <xdr:sp macro="" textlink="">
      <xdr:nvSpPr>
        <xdr:cNvPr id="15" name="TextBox 14">
          <a:extLst>
            <a:ext uri="{FF2B5EF4-FFF2-40B4-BE49-F238E27FC236}">
              <a16:creationId xmlns:a16="http://schemas.microsoft.com/office/drawing/2014/main" id="{49AAC821-B691-48BF-9139-AB287CA16227}"/>
            </a:ext>
          </a:extLst>
        </xdr:cNvPr>
        <xdr:cNvSpPr txBox="1"/>
      </xdr:nvSpPr>
      <xdr:spPr>
        <a:xfrm>
          <a:off x="603250" y="3758618"/>
          <a:ext cx="955675" cy="380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3366"/>
              </a:solidFill>
              <a:latin typeface="Arial Nova" panose="020B0504020202020204" pitchFamily="34" charset="0"/>
              <a:ea typeface="+mn-ea"/>
              <a:cs typeface="Aharoni" panose="020F0502020204030204" pitchFamily="2" charset="-79"/>
            </a:rPr>
            <a:t>KPI'S</a:t>
          </a:r>
        </a:p>
      </xdr:txBody>
    </xdr:sp>
    <xdr:clientData/>
  </xdr:twoCellAnchor>
  <xdr:twoCellAnchor>
    <xdr:from>
      <xdr:col>0</xdr:col>
      <xdr:colOff>14287</xdr:colOff>
      <xdr:row>10</xdr:row>
      <xdr:rowOff>71067</xdr:rowOff>
    </xdr:from>
    <xdr:to>
      <xdr:col>2</xdr:col>
      <xdr:colOff>350837</xdr:colOff>
      <xdr:row>12</xdr:row>
      <xdr:rowOff>126894</xdr:rowOff>
    </xdr:to>
    <xdr:sp macro="" textlink="">
      <xdr:nvSpPr>
        <xdr:cNvPr id="16" name="TextBox 15">
          <a:hlinkClick xmlns:r="http://schemas.openxmlformats.org/officeDocument/2006/relationships" r:id="rId4"/>
          <a:extLst>
            <a:ext uri="{FF2B5EF4-FFF2-40B4-BE49-F238E27FC236}">
              <a16:creationId xmlns:a16="http://schemas.microsoft.com/office/drawing/2014/main" id="{8BE88A47-C0DD-4030-8098-083DE9DCDCE8}"/>
            </a:ext>
          </a:extLst>
        </xdr:cNvPr>
        <xdr:cNvSpPr txBox="1"/>
      </xdr:nvSpPr>
      <xdr:spPr>
        <a:xfrm>
          <a:off x="14287" y="1912567"/>
          <a:ext cx="2133600" cy="42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ysClr val="windowText" lastClr="000000"/>
              </a:solidFill>
              <a:latin typeface="Arial Nova" panose="020B0504020202020204" pitchFamily="34" charset="0"/>
              <a:cs typeface="Aharoni" panose="020F0502020204030204" pitchFamily="2" charset="-79"/>
            </a:rPr>
            <a:t>DASHBOARD</a:t>
          </a:r>
          <a:endParaRPr lang="en-US" sz="1600" b="1">
            <a:solidFill>
              <a:sysClr val="windowText" lastClr="000000"/>
            </a:solidFill>
            <a:latin typeface="Arial Nova" panose="020B0504020202020204" pitchFamily="34" charset="0"/>
            <a:cs typeface="Aharoni" panose="020F0502020204030204" pitchFamily="2" charset="-79"/>
          </a:endParaRPr>
        </a:p>
      </xdr:txBody>
    </xdr:sp>
    <xdr:clientData/>
  </xdr:twoCellAnchor>
  <xdr:twoCellAnchor>
    <xdr:from>
      <xdr:col>2</xdr:col>
      <xdr:colOff>298449</xdr:colOff>
      <xdr:row>0</xdr:row>
      <xdr:rowOff>19049</xdr:rowOff>
    </xdr:from>
    <xdr:to>
      <xdr:col>2</xdr:col>
      <xdr:colOff>558030</xdr:colOff>
      <xdr:row>36</xdr:row>
      <xdr:rowOff>134696</xdr:rowOff>
    </xdr:to>
    <xdr:sp macro="" textlink="">
      <xdr:nvSpPr>
        <xdr:cNvPr id="17" name="Rectangle 16">
          <a:extLst>
            <a:ext uri="{FF2B5EF4-FFF2-40B4-BE49-F238E27FC236}">
              <a16:creationId xmlns:a16="http://schemas.microsoft.com/office/drawing/2014/main" id="{DA1D41F5-DA87-4DFF-B898-C0AFF006DB4A}"/>
            </a:ext>
          </a:extLst>
        </xdr:cNvPr>
        <xdr:cNvSpPr/>
      </xdr:nvSpPr>
      <xdr:spPr>
        <a:xfrm>
          <a:off x="2096241" y="19049"/>
          <a:ext cx="259581" cy="6746037"/>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90487</xdr:colOff>
      <xdr:row>25</xdr:row>
      <xdr:rowOff>70221</xdr:rowOff>
    </xdr:from>
    <xdr:to>
      <xdr:col>2</xdr:col>
      <xdr:colOff>274637</xdr:colOff>
      <xdr:row>27</xdr:row>
      <xdr:rowOff>98002</xdr:rowOff>
    </xdr:to>
    <xdr:sp macro="" textlink="">
      <xdr:nvSpPr>
        <xdr:cNvPr id="18" name="TextBox 17">
          <a:hlinkClick xmlns:r="http://schemas.openxmlformats.org/officeDocument/2006/relationships" r:id="rId5"/>
          <a:extLst>
            <a:ext uri="{FF2B5EF4-FFF2-40B4-BE49-F238E27FC236}">
              <a16:creationId xmlns:a16="http://schemas.microsoft.com/office/drawing/2014/main" id="{6CA6F524-EBD1-4515-B695-D250C9B707E1}"/>
            </a:ext>
          </a:extLst>
        </xdr:cNvPr>
        <xdr:cNvSpPr txBox="1"/>
      </xdr:nvSpPr>
      <xdr:spPr>
        <a:xfrm>
          <a:off x="90487" y="4673971"/>
          <a:ext cx="1981200" cy="396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dk1"/>
              </a:solidFill>
              <a:latin typeface="Arial Nova" panose="020B0504020202020204" pitchFamily="34" charset="0"/>
              <a:ea typeface="+mn-ea"/>
              <a:cs typeface="Aharoni" panose="020F0502020204030204" pitchFamily="2" charset="-79"/>
            </a:rPr>
            <a:t>PIVOT</a:t>
          </a:r>
          <a:r>
            <a:rPr lang="en-US" sz="1800" b="1">
              <a:solidFill>
                <a:schemeClr val="dk1"/>
              </a:solidFill>
              <a:latin typeface="Arial Nova" panose="020B0504020202020204" pitchFamily="34" charset="0"/>
              <a:ea typeface="+mn-ea"/>
              <a:cs typeface="Aharoni" panose="020F0502020204030204" pitchFamily="2" charset="-79"/>
            </a:rPr>
            <a:t> </a:t>
          </a:r>
          <a:r>
            <a:rPr lang="en-US" sz="2000" b="1">
              <a:solidFill>
                <a:schemeClr val="dk1"/>
              </a:solidFill>
              <a:latin typeface="Arial Nova" panose="020B0504020202020204" pitchFamily="34" charset="0"/>
              <a:ea typeface="+mn-ea"/>
              <a:cs typeface="Aharoni" panose="020F0502020204030204" pitchFamily="2" charset="-79"/>
            </a:rPr>
            <a:t>TABLES</a:t>
          </a:r>
          <a:endParaRPr lang="en-US" sz="1800" b="1">
            <a:solidFill>
              <a:schemeClr val="dk1"/>
            </a:solidFill>
            <a:latin typeface="Arial Nova" panose="020B0504020202020204" pitchFamily="34" charset="0"/>
            <a:ea typeface="+mn-ea"/>
            <a:cs typeface="Aharoni" panose="020F0502020204030204" pitchFamily="2" charset="-79"/>
          </a:endParaRPr>
        </a:p>
      </xdr:txBody>
    </xdr:sp>
    <xdr:clientData/>
  </xdr:twoCellAnchor>
  <xdr:twoCellAnchor editAs="oneCell">
    <xdr:from>
      <xdr:col>0</xdr:col>
      <xdr:colOff>573087</xdr:colOff>
      <xdr:row>0</xdr:row>
      <xdr:rowOff>0</xdr:rowOff>
    </xdr:from>
    <xdr:to>
      <xdr:col>1</xdr:col>
      <xdr:colOff>979487</xdr:colOff>
      <xdr:row>4</xdr:row>
      <xdr:rowOff>146050</xdr:rowOff>
    </xdr:to>
    <xdr:pic>
      <xdr:nvPicPr>
        <xdr:cNvPr id="19" name="Picture 18">
          <a:extLst>
            <a:ext uri="{FF2B5EF4-FFF2-40B4-BE49-F238E27FC236}">
              <a16:creationId xmlns:a16="http://schemas.microsoft.com/office/drawing/2014/main" id="{78751967-D3E6-403A-8E2D-738696EC4281}"/>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24924" t="12820" r="25846" b="12927"/>
        <a:stretch>
          <a:fillRect/>
        </a:stretch>
      </xdr:blipFill>
      <xdr:spPr>
        <a:xfrm>
          <a:off x="573087" y="0"/>
          <a:ext cx="1016000" cy="8826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527447</xdr:colOff>
      <xdr:row>35</xdr:row>
      <xdr:rowOff>158353</xdr:rowOff>
    </xdr:to>
    <xdr:sp macro="" textlink="">
      <xdr:nvSpPr>
        <xdr:cNvPr id="18" name="Rectangle 17">
          <a:extLst>
            <a:ext uri="{FF2B5EF4-FFF2-40B4-BE49-F238E27FC236}">
              <a16:creationId xmlns:a16="http://schemas.microsoft.com/office/drawing/2014/main" id="{0CF16E67-3BED-493A-A2F4-C91CC908273B}"/>
            </a:ext>
          </a:extLst>
        </xdr:cNvPr>
        <xdr:cNvSpPr/>
      </xdr:nvSpPr>
      <xdr:spPr>
        <a:xfrm>
          <a:off x="0" y="0"/>
          <a:ext cx="2343150" cy="67564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86916</xdr:colOff>
      <xdr:row>24</xdr:row>
      <xdr:rowOff>86519</xdr:rowOff>
    </xdr:from>
    <xdr:to>
      <xdr:col>3</xdr:col>
      <xdr:colOff>347663</xdr:colOff>
      <xdr:row>26</xdr:row>
      <xdr:rowOff>185738</xdr:rowOff>
    </xdr:to>
    <xdr:sp macro="" textlink="">
      <xdr:nvSpPr>
        <xdr:cNvPr id="19" name="Rectangle: Rounded Corners 18">
          <a:extLst>
            <a:ext uri="{FF2B5EF4-FFF2-40B4-BE49-F238E27FC236}">
              <a16:creationId xmlns:a16="http://schemas.microsoft.com/office/drawing/2014/main" id="{9A80D48B-096E-4B9B-953C-C87D704D8C59}"/>
            </a:ext>
          </a:extLst>
        </xdr:cNvPr>
        <xdr:cNvSpPr/>
      </xdr:nvSpPr>
      <xdr:spPr>
        <a:xfrm>
          <a:off x="86916" y="4610894"/>
          <a:ext cx="2076450" cy="476250"/>
        </a:xfrm>
        <a:prstGeom prst="roundRect">
          <a:avLst/>
        </a:prstGeom>
        <a:solidFill>
          <a:schemeClr val="tx2">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101204</xdr:colOff>
      <xdr:row>29</xdr:row>
      <xdr:rowOff>61516</xdr:rowOff>
    </xdr:from>
    <xdr:to>
      <xdr:col>2</xdr:col>
      <xdr:colOff>426244</xdr:colOff>
      <xdr:row>31</xdr:row>
      <xdr:rowOff>80566</xdr:rowOff>
    </xdr:to>
    <xdr:sp macro="" textlink="">
      <xdr:nvSpPr>
        <xdr:cNvPr id="20" name="TextBox 19">
          <a:hlinkClick xmlns:r="http://schemas.openxmlformats.org/officeDocument/2006/relationships" r:id="rId1"/>
          <a:extLst>
            <a:ext uri="{FF2B5EF4-FFF2-40B4-BE49-F238E27FC236}">
              <a16:creationId xmlns:a16="http://schemas.microsoft.com/office/drawing/2014/main" id="{CE14443B-B965-4195-B7B6-B328E84FBF50}"/>
            </a:ext>
          </a:extLst>
        </xdr:cNvPr>
        <xdr:cNvSpPr txBox="1"/>
      </xdr:nvSpPr>
      <xdr:spPr>
        <a:xfrm>
          <a:off x="709746" y="5432558"/>
          <a:ext cx="933581" cy="389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INFO</a:t>
          </a:r>
        </a:p>
      </xdr:txBody>
    </xdr:sp>
    <xdr:clientData/>
  </xdr:twoCellAnchor>
  <xdr:twoCellAnchor>
    <xdr:from>
      <xdr:col>0</xdr:col>
      <xdr:colOff>373063</xdr:colOff>
      <xdr:row>14</xdr:row>
      <xdr:rowOff>181292</xdr:rowOff>
    </xdr:from>
    <xdr:to>
      <xdr:col>3</xdr:col>
      <xdr:colOff>154385</xdr:colOff>
      <xdr:row>17</xdr:row>
      <xdr:rowOff>57335</xdr:rowOff>
    </xdr:to>
    <xdr:sp macro="" textlink="">
      <xdr:nvSpPr>
        <xdr:cNvPr id="21" name="TextBox 20">
          <a:hlinkClick xmlns:r="http://schemas.openxmlformats.org/officeDocument/2006/relationships" r:id="rId2"/>
          <a:extLst>
            <a:ext uri="{FF2B5EF4-FFF2-40B4-BE49-F238E27FC236}">
              <a16:creationId xmlns:a16="http://schemas.microsoft.com/office/drawing/2014/main" id="{0546AA84-6797-43E1-B863-6A6C9AA22946}"/>
            </a:ext>
          </a:extLst>
        </xdr:cNvPr>
        <xdr:cNvSpPr txBox="1"/>
      </xdr:nvSpPr>
      <xdr:spPr>
        <a:xfrm>
          <a:off x="373063" y="2774209"/>
          <a:ext cx="1606947" cy="431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DATASET</a:t>
          </a:r>
        </a:p>
      </xdr:txBody>
    </xdr:sp>
    <xdr:clientData/>
  </xdr:twoCellAnchor>
  <xdr:twoCellAnchor>
    <xdr:from>
      <xdr:col>1</xdr:col>
      <xdr:colOff>2779</xdr:colOff>
      <xdr:row>5</xdr:row>
      <xdr:rowOff>38497</xdr:rowOff>
    </xdr:from>
    <xdr:to>
      <xdr:col>2</xdr:col>
      <xdr:colOff>524669</xdr:colOff>
      <xdr:row>7</xdr:row>
      <xdr:rowOff>90091</xdr:rowOff>
    </xdr:to>
    <xdr:sp macro="" textlink="">
      <xdr:nvSpPr>
        <xdr:cNvPr id="22" name="TextBox 21">
          <a:hlinkClick xmlns:r="http://schemas.openxmlformats.org/officeDocument/2006/relationships" r:id="rId3"/>
          <a:extLst>
            <a:ext uri="{FF2B5EF4-FFF2-40B4-BE49-F238E27FC236}">
              <a16:creationId xmlns:a16="http://schemas.microsoft.com/office/drawing/2014/main" id="{E90CD1C2-1F94-4103-A2D3-A3F7F2ADCA9A}"/>
            </a:ext>
          </a:extLst>
        </xdr:cNvPr>
        <xdr:cNvSpPr txBox="1"/>
      </xdr:nvSpPr>
      <xdr:spPr>
        <a:xfrm>
          <a:off x="611321" y="964539"/>
          <a:ext cx="1130431" cy="422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HOME</a:t>
          </a:r>
        </a:p>
      </xdr:txBody>
    </xdr:sp>
    <xdr:clientData/>
  </xdr:twoCellAnchor>
  <xdr:twoCellAnchor>
    <xdr:from>
      <xdr:col>1</xdr:col>
      <xdr:colOff>88504</xdr:colOff>
      <xdr:row>19</xdr:row>
      <xdr:rowOff>176821</xdr:rowOff>
    </xdr:from>
    <xdr:to>
      <xdr:col>2</xdr:col>
      <xdr:colOff>438944</xdr:colOff>
      <xdr:row>21</xdr:row>
      <xdr:rowOff>180526</xdr:rowOff>
    </xdr:to>
    <xdr:sp macro="" textlink="">
      <xdr:nvSpPr>
        <xdr:cNvPr id="23" name="TextBox 22">
          <a:hlinkClick xmlns:r="http://schemas.openxmlformats.org/officeDocument/2006/relationships" r:id="rId4"/>
          <a:extLst>
            <a:ext uri="{FF2B5EF4-FFF2-40B4-BE49-F238E27FC236}">
              <a16:creationId xmlns:a16="http://schemas.microsoft.com/office/drawing/2014/main" id="{11845ECE-656C-4C2B-8A44-93B30DF24FFE}"/>
            </a:ext>
          </a:extLst>
        </xdr:cNvPr>
        <xdr:cNvSpPr txBox="1"/>
      </xdr:nvSpPr>
      <xdr:spPr>
        <a:xfrm>
          <a:off x="697046" y="3695779"/>
          <a:ext cx="958981" cy="374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KPI'S</a:t>
          </a:r>
        </a:p>
      </xdr:txBody>
    </xdr:sp>
    <xdr:clientData/>
  </xdr:twoCellAnchor>
  <xdr:twoCellAnchor>
    <xdr:from>
      <xdr:col>0</xdr:col>
      <xdr:colOff>104775</xdr:colOff>
      <xdr:row>10</xdr:row>
      <xdr:rowOff>27411</xdr:rowOff>
    </xdr:from>
    <xdr:to>
      <xdr:col>3</xdr:col>
      <xdr:colOff>422672</xdr:colOff>
      <xdr:row>12</xdr:row>
      <xdr:rowOff>74506</xdr:rowOff>
    </xdr:to>
    <xdr:sp macro="" textlink="">
      <xdr:nvSpPr>
        <xdr:cNvPr id="24" name="TextBox 23">
          <a:hlinkClick xmlns:r="http://schemas.openxmlformats.org/officeDocument/2006/relationships" r:id="rId5"/>
          <a:extLst>
            <a:ext uri="{FF2B5EF4-FFF2-40B4-BE49-F238E27FC236}">
              <a16:creationId xmlns:a16="http://schemas.microsoft.com/office/drawing/2014/main" id="{65A60210-E452-4B99-A983-E3E38A6DAF16}"/>
            </a:ext>
          </a:extLst>
        </xdr:cNvPr>
        <xdr:cNvSpPr txBox="1"/>
      </xdr:nvSpPr>
      <xdr:spPr>
        <a:xfrm>
          <a:off x="104775" y="1879494"/>
          <a:ext cx="2143522" cy="417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1"/>
              </a:solidFill>
              <a:latin typeface="Arial Nova" panose="020B0504020202020204" pitchFamily="34" charset="0"/>
              <a:cs typeface="Aharoni" panose="020F0502020204030204" pitchFamily="2" charset="-79"/>
            </a:rPr>
            <a:t>DASHBOARD</a:t>
          </a:r>
          <a:endParaRPr lang="en-US" sz="1600" b="1">
            <a:solidFill>
              <a:schemeClr val="tx1"/>
            </a:solidFill>
            <a:latin typeface="Arial Nova" panose="020B0504020202020204" pitchFamily="34" charset="0"/>
            <a:cs typeface="Aharoni" panose="020F0502020204030204" pitchFamily="2" charset="-79"/>
          </a:endParaRPr>
        </a:p>
      </xdr:txBody>
    </xdr:sp>
    <xdr:clientData/>
  </xdr:twoCellAnchor>
  <xdr:twoCellAnchor>
    <xdr:from>
      <xdr:col>3</xdr:col>
      <xdr:colOff>324114</xdr:colOff>
      <xdr:row>0</xdr:row>
      <xdr:rowOff>0</xdr:rowOff>
    </xdr:from>
    <xdr:to>
      <xdr:col>3</xdr:col>
      <xdr:colOff>539749</xdr:colOff>
      <xdr:row>35</xdr:row>
      <xdr:rowOff>160130</xdr:rowOff>
    </xdr:to>
    <xdr:sp macro="" textlink="">
      <xdr:nvSpPr>
        <xdr:cNvPr id="25" name="Rectangle 24">
          <a:extLst>
            <a:ext uri="{FF2B5EF4-FFF2-40B4-BE49-F238E27FC236}">
              <a16:creationId xmlns:a16="http://schemas.microsoft.com/office/drawing/2014/main" id="{96BE2E71-FBDF-436E-A0E6-81E521159E6C}"/>
            </a:ext>
          </a:extLst>
        </xdr:cNvPr>
        <xdr:cNvSpPr/>
      </xdr:nvSpPr>
      <xdr:spPr>
        <a:xfrm>
          <a:off x="2154571" y="0"/>
          <a:ext cx="215635" cy="6634369"/>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180975</xdr:colOff>
      <xdr:row>24</xdr:row>
      <xdr:rowOff>149596</xdr:rowOff>
    </xdr:from>
    <xdr:to>
      <xdr:col>3</xdr:col>
      <xdr:colOff>346472</xdr:colOff>
      <xdr:row>26</xdr:row>
      <xdr:rowOff>168646</xdr:rowOff>
    </xdr:to>
    <xdr:sp macro="" textlink="">
      <xdr:nvSpPr>
        <xdr:cNvPr id="26" name="TextBox 25">
          <a:extLst>
            <a:ext uri="{FF2B5EF4-FFF2-40B4-BE49-F238E27FC236}">
              <a16:creationId xmlns:a16="http://schemas.microsoft.com/office/drawing/2014/main" id="{7E2D6EEC-74AA-436E-AFED-D49CAB3A0BCC}"/>
            </a:ext>
          </a:extLst>
        </xdr:cNvPr>
        <xdr:cNvSpPr txBox="1"/>
      </xdr:nvSpPr>
      <xdr:spPr>
        <a:xfrm>
          <a:off x="180975" y="4594596"/>
          <a:ext cx="1991122"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3366"/>
              </a:solidFill>
              <a:latin typeface="Arial Nova" panose="020B0504020202020204" pitchFamily="34" charset="0"/>
              <a:ea typeface="+mn-ea"/>
              <a:cs typeface="Aharoni" panose="020F0502020204030204" pitchFamily="2" charset="-79"/>
            </a:rPr>
            <a:t>PIVOT</a:t>
          </a:r>
          <a:r>
            <a:rPr lang="en-US" sz="1800" b="1">
              <a:solidFill>
                <a:srgbClr val="003366"/>
              </a:solidFill>
              <a:latin typeface="Arial Nova" panose="020B0504020202020204" pitchFamily="34" charset="0"/>
              <a:ea typeface="+mn-ea"/>
              <a:cs typeface="Aharoni" panose="020F0502020204030204" pitchFamily="2" charset="-79"/>
            </a:rPr>
            <a:t> </a:t>
          </a:r>
          <a:r>
            <a:rPr lang="en-US" sz="2000" b="1">
              <a:solidFill>
                <a:srgbClr val="003366"/>
              </a:solidFill>
              <a:latin typeface="Arial Nova" panose="020B0504020202020204" pitchFamily="34" charset="0"/>
              <a:ea typeface="+mn-ea"/>
              <a:cs typeface="Aharoni" panose="020F0502020204030204" pitchFamily="2" charset="-79"/>
            </a:rPr>
            <a:t>TABLES</a:t>
          </a:r>
          <a:endParaRPr lang="en-US" sz="1800" b="1">
            <a:solidFill>
              <a:srgbClr val="003366"/>
            </a:solidFill>
            <a:latin typeface="Arial Nova" panose="020B0504020202020204" pitchFamily="34" charset="0"/>
            <a:ea typeface="+mn-ea"/>
            <a:cs typeface="Aharoni" panose="020F0502020204030204" pitchFamily="2" charset="-79"/>
          </a:endParaRPr>
        </a:p>
      </xdr:txBody>
    </xdr:sp>
    <xdr:clientData/>
  </xdr:twoCellAnchor>
  <xdr:twoCellAnchor editAs="oneCell">
    <xdr:from>
      <xdr:col>1</xdr:col>
      <xdr:colOff>58341</xdr:colOff>
      <xdr:row>0</xdr:row>
      <xdr:rowOff>0</xdr:rowOff>
    </xdr:from>
    <xdr:to>
      <xdr:col>2</xdr:col>
      <xdr:colOff>469106</xdr:colOff>
      <xdr:row>4</xdr:row>
      <xdr:rowOff>128587</xdr:rowOff>
    </xdr:to>
    <xdr:pic>
      <xdr:nvPicPr>
        <xdr:cNvPr id="27" name="Picture 26">
          <a:extLst>
            <a:ext uri="{FF2B5EF4-FFF2-40B4-BE49-F238E27FC236}">
              <a16:creationId xmlns:a16="http://schemas.microsoft.com/office/drawing/2014/main" id="{D11C8ED3-357A-441C-B203-53C42F34D8CA}"/>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24924" t="12820" r="25846" b="12927"/>
        <a:stretch>
          <a:fillRect/>
        </a:stretch>
      </xdr:blipFill>
      <xdr:spPr>
        <a:xfrm>
          <a:off x="666883" y="0"/>
          <a:ext cx="1019306" cy="869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514350</xdr:colOff>
      <xdr:row>37</xdr:row>
      <xdr:rowOff>3692</xdr:rowOff>
    </xdr:to>
    <xdr:sp macro="" textlink="">
      <xdr:nvSpPr>
        <xdr:cNvPr id="19" name="Rectangle 18">
          <a:extLst>
            <a:ext uri="{FF2B5EF4-FFF2-40B4-BE49-F238E27FC236}">
              <a16:creationId xmlns:a16="http://schemas.microsoft.com/office/drawing/2014/main" id="{55803D2E-5612-470A-A4CE-573839626941}"/>
            </a:ext>
          </a:extLst>
        </xdr:cNvPr>
        <xdr:cNvSpPr/>
      </xdr:nvSpPr>
      <xdr:spPr>
        <a:xfrm>
          <a:off x="0" y="0"/>
          <a:ext cx="2341821" cy="6833634"/>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82550</xdr:colOff>
      <xdr:row>29</xdr:row>
      <xdr:rowOff>171450</xdr:rowOff>
    </xdr:from>
    <xdr:to>
      <xdr:col>3</xdr:col>
      <xdr:colOff>330200</xdr:colOff>
      <xdr:row>32</xdr:row>
      <xdr:rowOff>95250</xdr:rowOff>
    </xdr:to>
    <xdr:sp macro="" textlink="">
      <xdr:nvSpPr>
        <xdr:cNvPr id="20" name="Rectangle: Rounded Corners 19">
          <a:extLst>
            <a:ext uri="{FF2B5EF4-FFF2-40B4-BE49-F238E27FC236}">
              <a16:creationId xmlns:a16="http://schemas.microsoft.com/office/drawing/2014/main" id="{D9E64E8E-F6BA-49B4-964F-33742BDB989C}"/>
            </a:ext>
          </a:extLst>
        </xdr:cNvPr>
        <xdr:cNvSpPr/>
      </xdr:nvSpPr>
      <xdr:spPr>
        <a:xfrm>
          <a:off x="82550" y="5511800"/>
          <a:ext cx="2076450" cy="476250"/>
        </a:xfrm>
        <a:prstGeom prst="roundRect">
          <a:avLst/>
        </a:prstGeom>
        <a:solidFill>
          <a:schemeClr val="tx2">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96837</xdr:colOff>
      <xdr:row>30</xdr:row>
      <xdr:rowOff>3969</xdr:rowOff>
    </xdr:from>
    <xdr:to>
      <xdr:col>2</xdr:col>
      <xdr:colOff>417512</xdr:colOff>
      <xdr:row>32</xdr:row>
      <xdr:rowOff>31750</xdr:rowOff>
    </xdr:to>
    <xdr:sp macro="" textlink="">
      <xdr:nvSpPr>
        <xdr:cNvPr id="21" name="TextBox 20">
          <a:extLst>
            <a:ext uri="{FF2B5EF4-FFF2-40B4-BE49-F238E27FC236}">
              <a16:creationId xmlns:a16="http://schemas.microsoft.com/office/drawing/2014/main" id="{ADAD4424-18A4-42A4-AAD6-74DA6B842E05}"/>
            </a:ext>
          </a:extLst>
        </xdr:cNvPr>
        <xdr:cNvSpPr txBox="1"/>
      </xdr:nvSpPr>
      <xdr:spPr>
        <a:xfrm>
          <a:off x="702071" y="5659438"/>
          <a:ext cx="925910" cy="404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3366"/>
              </a:solidFill>
              <a:latin typeface="Arial Nova" panose="020B0504020202020204" pitchFamily="34" charset="0"/>
              <a:ea typeface="+mn-ea"/>
              <a:cs typeface="Aharoni" panose="020F0502020204030204" pitchFamily="2" charset="-79"/>
            </a:rPr>
            <a:t>INFO</a:t>
          </a:r>
        </a:p>
      </xdr:txBody>
    </xdr:sp>
    <xdr:clientData/>
  </xdr:twoCellAnchor>
  <xdr:twoCellAnchor>
    <xdr:from>
      <xdr:col>0</xdr:col>
      <xdr:colOff>373062</xdr:colOff>
      <xdr:row>15</xdr:row>
      <xdr:rowOff>64611</xdr:rowOff>
    </xdr:from>
    <xdr:to>
      <xdr:col>3</xdr:col>
      <xdr:colOff>141287</xdr:colOff>
      <xdr:row>17</xdr:row>
      <xdr:rowOff>131551</xdr:rowOff>
    </xdr:to>
    <xdr:sp macro="" textlink="">
      <xdr:nvSpPr>
        <xdr:cNvPr id="22" name="TextBox 21">
          <a:hlinkClick xmlns:r="http://schemas.openxmlformats.org/officeDocument/2006/relationships" r:id="rId1"/>
          <a:extLst>
            <a:ext uri="{FF2B5EF4-FFF2-40B4-BE49-F238E27FC236}">
              <a16:creationId xmlns:a16="http://schemas.microsoft.com/office/drawing/2014/main" id="{F1D73045-F24E-498C-BB1B-911F2F88EA05}"/>
            </a:ext>
          </a:extLst>
        </xdr:cNvPr>
        <xdr:cNvSpPr txBox="1"/>
      </xdr:nvSpPr>
      <xdr:spPr>
        <a:xfrm>
          <a:off x="373062" y="2892345"/>
          <a:ext cx="1583928" cy="443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DATASET</a:t>
          </a:r>
        </a:p>
      </xdr:txBody>
    </xdr:sp>
    <xdr:clientData/>
  </xdr:twoCellAnchor>
  <xdr:twoCellAnchor>
    <xdr:from>
      <xdr:col>1</xdr:col>
      <xdr:colOff>595</xdr:colOff>
      <xdr:row>5</xdr:row>
      <xdr:rowOff>60325</xdr:rowOff>
    </xdr:from>
    <xdr:to>
      <xdr:col>2</xdr:col>
      <xdr:colOff>513754</xdr:colOff>
      <xdr:row>7</xdr:row>
      <xdr:rowOff>120650</xdr:rowOff>
    </xdr:to>
    <xdr:sp macro="" textlink="">
      <xdr:nvSpPr>
        <xdr:cNvPr id="23" name="TextBox 22">
          <a:hlinkClick xmlns:r="http://schemas.openxmlformats.org/officeDocument/2006/relationships" r:id="rId2"/>
          <a:extLst>
            <a:ext uri="{FF2B5EF4-FFF2-40B4-BE49-F238E27FC236}">
              <a16:creationId xmlns:a16="http://schemas.microsoft.com/office/drawing/2014/main" id="{65D02135-8741-4E1F-90EE-E1B9F43AB23A}"/>
            </a:ext>
          </a:extLst>
        </xdr:cNvPr>
        <xdr:cNvSpPr txBox="1"/>
      </xdr:nvSpPr>
      <xdr:spPr>
        <a:xfrm>
          <a:off x="605829" y="1002903"/>
          <a:ext cx="1118394" cy="437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HOME</a:t>
          </a:r>
        </a:p>
      </xdr:txBody>
    </xdr:sp>
    <xdr:clientData/>
  </xdr:twoCellAnchor>
  <xdr:twoCellAnchor>
    <xdr:from>
      <xdr:col>1</xdr:col>
      <xdr:colOff>86320</xdr:colOff>
      <xdr:row>20</xdr:row>
      <xdr:rowOff>75618</xdr:rowOff>
    </xdr:from>
    <xdr:to>
      <xdr:col>2</xdr:col>
      <xdr:colOff>428029</xdr:colOff>
      <xdr:row>22</xdr:row>
      <xdr:rowOff>88054</xdr:rowOff>
    </xdr:to>
    <xdr:sp macro="" textlink="">
      <xdr:nvSpPr>
        <xdr:cNvPr id="24" name="TextBox 23">
          <a:hlinkClick xmlns:r="http://schemas.openxmlformats.org/officeDocument/2006/relationships" r:id="rId3"/>
          <a:extLst>
            <a:ext uri="{FF2B5EF4-FFF2-40B4-BE49-F238E27FC236}">
              <a16:creationId xmlns:a16="http://schemas.microsoft.com/office/drawing/2014/main" id="{67FCF41A-5412-4D33-8C32-AE42FEE2F3DC}"/>
            </a:ext>
          </a:extLst>
        </xdr:cNvPr>
        <xdr:cNvSpPr txBox="1"/>
      </xdr:nvSpPr>
      <xdr:spPr>
        <a:xfrm>
          <a:off x="691554" y="3845931"/>
          <a:ext cx="946944"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latin typeface="Arial Nova" panose="020B0504020202020204" pitchFamily="34" charset="0"/>
              <a:ea typeface="+mn-ea"/>
              <a:cs typeface="Aharoni" panose="020F0502020204030204" pitchFamily="2" charset="-79"/>
            </a:rPr>
            <a:t>KPI'S</a:t>
          </a:r>
        </a:p>
      </xdr:txBody>
    </xdr:sp>
    <xdr:clientData/>
  </xdr:twoCellAnchor>
  <xdr:twoCellAnchor>
    <xdr:from>
      <xdr:col>0</xdr:col>
      <xdr:colOff>104775</xdr:colOff>
      <xdr:row>10</xdr:row>
      <xdr:rowOff>71067</xdr:rowOff>
    </xdr:from>
    <xdr:to>
      <xdr:col>3</xdr:col>
      <xdr:colOff>409575</xdr:colOff>
      <xdr:row>12</xdr:row>
      <xdr:rowOff>126894</xdr:rowOff>
    </xdr:to>
    <xdr:sp macro="" textlink="">
      <xdr:nvSpPr>
        <xdr:cNvPr id="25" name="TextBox 24">
          <a:hlinkClick xmlns:r="http://schemas.openxmlformats.org/officeDocument/2006/relationships" r:id="rId4"/>
          <a:extLst>
            <a:ext uri="{FF2B5EF4-FFF2-40B4-BE49-F238E27FC236}">
              <a16:creationId xmlns:a16="http://schemas.microsoft.com/office/drawing/2014/main" id="{4B2736C9-992B-4EAA-BC0D-462693D343E8}"/>
            </a:ext>
          </a:extLst>
        </xdr:cNvPr>
        <xdr:cNvSpPr txBox="1"/>
      </xdr:nvSpPr>
      <xdr:spPr>
        <a:xfrm>
          <a:off x="104775" y="1956223"/>
          <a:ext cx="2120503" cy="432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1">
                  <a:lumMod val="95000"/>
                  <a:lumOff val="5000"/>
                </a:schemeClr>
              </a:solidFill>
              <a:latin typeface="Arial Nova" panose="020B0504020202020204" pitchFamily="34" charset="0"/>
              <a:cs typeface="Aharoni" panose="020F0502020204030204" pitchFamily="2" charset="-79"/>
            </a:rPr>
            <a:t>DASHBOARD</a:t>
          </a:r>
          <a:endParaRPr lang="en-US" sz="1600" b="1">
            <a:solidFill>
              <a:schemeClr val="tx1">
                <a:lumMod val="95000"/>
                <a:lumOff val="5000"/>
              </a:schemeClr>
            </a:solidFill>
            <a:latin typeface="Arial Nova" panose="020B0504020202020204" pitchFamily="34" charset="0"/>
            <a:cs typeface="Aharoni" panose="020F0502020204030204" pitchFamily="2" charset="-79"/>
          </a:endParaRPr>
        </a:p>
      </xdr:txBody>
    </xdr:sp>
    <xdr:clientData/>
  </xdr:twoCellAnchor>
  <xdr:twoCellAnchor>
    <xdr:from>
      <xdr:col>3</xdr:col>
      <xdr:colOff>305740</xdr:colOff>
      <xdr:row>0</xdr:row>
      <xdr:rowOff>19050</xdr:rowOff>
    </xdr:from>
    <xdr:to>
      <xdr:col>3</xdr:col>
      <xdr:colOff>513169</xdr:colOff>
      <xdr:row>37</xdr:row>
      <xdr:rowOff>4763</xdr:rowOff>
    </xdr:to>
    <xdr:sp macro="" textlink="">
      <xdr:nvSpPr>
        <xdr:cNvPr id="26" name="Rectangle 25">
          <a:extLst>
            <a:ext uri="{FF2B5EF4-FFF2-40B4-BE49-F238E27FC236}">
              <a16:creationId xmlns:a16="http://schemas.microsoft.com/office/drawing/2014/main" id="{E7ABC775-E3B2-486B-A7CC-DE06603433C0}"/>
            </a:ext>
          </a:extLst>
        </xdr:cNvPr>
        <xdr:cNvSpPr/>
      </xdr:nvSpPr>
      <xdr:spPr>
        <a:xfrm>
          <a:off x="2134540" y="19050"/>
          <a:ext cx="207429" cy="6799263"/>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180975</xdr:colOff>
      <xdr:row>25</xdr:row>
      <xdr:rowOff>70221</xdr:rowOff>
    </xdr:from>
    <xdr:to>
      <xdr:col>3</xdr:col>
      <xdr:colOff>333375</xdr:colOff>
      <xdr:row>27</xdr:row>
      <xdr:rowOff>98002</xdr:rowOff>
    </xdr:to>
    <xdr:sp macro="" textlink="">
      <xdr:nvSpPr>
        <xdr:cNvPr id="27" name="TextBox 26">
          <a:hlinkClick xmlns:r="http://schemas.openxmlformats.org/officeDocument/2006/relationships" r:id="rId5"/>
          <a:extLst>
            <a:ext uri="{FF2B5EF4-FFF2-40B4-BE49-F238E27FC236}">
              <a16:creationId xmlns:a16="http://schemas.microsoft.com/office/drawing/2014/main" id="{A53CEBC4-2411-46D5-8242-83AA934B6C36}"/>
            </a:ext>
          </a:extLst>
        </xdr:cNvPr>
        <xdr:cNvSpPr txBox="1"/>
      </xdr:nvSpPr>
      <xdr:spPr>
        <a:xfrm>
          <a:off x="180975" y="4783112"/>
          <a:ext cx="1968103" cy="404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dk1"/>
              </a:solidFill>
              <a:latin typeface="Arial Nova" panose="020B0504020202020204" pitchFamily="34" charset="0"/>
              <a:ea typeface="+mn-ea"/>
              <a:cs typeface="Aharoni" panose="020F0502020204030204" pitchFamily="2" charset="-79"/>
            </a:rPr>
            <a:t>PIVOT</a:t>
          </a:r>
          <a:r>
            <a:rPr lang="en-US" sz="1800" b="1">
              <a:solidFill>
                <a:schemeClr val="dk1"/>
              </a:solidFill>
              <a:latin typeface="Arial Nova" panose="020B0504020202020204" pitchFamily="34" charset="0"/>
              <a:ea typeface="+mn-ea"/>
              <a:cs typeface="Aharoni" panose="020F0502020204030204" pitchFamily="2" charset="-79"/>
            </a:rPr>
            <a:t> </a:t>
          </a:r>
          <a:r>
            <a:rPr lang="en-US" sz="2000" b="1">
              <a:solidFill>
                <a:schemeClr val="dk1"/>
              </a:solidFill>
              <a:latin typeface="Arial Nova" panose="020B0504020202020204" pitchFamily="34" charset="0"/>
              <a:ea typeface="+mn-ea"/>
              <a:cs typeface="Aharoni" panose="020F0502020204030204" pitchFamily="2" charset="-79"/>
            </a:rPr>
            <a:t>TABLES</a:t>
          </a:r>
          <a:endParaRPr lang="en-US" sz="1800" b="1">
            <a:solidFill>
              <a:schemeClr val="dk1"/>
            </a:solidFill>
            <a:latin typeface="Arial Nova" panose="020B0504020202020204" pitchFamily="34" charset="0"/>
            <a:ea typeface="+mn-ea"/>
            <a:cs typeface="Aharoni" panose="020F0502020204030204" pitchFamily="2" charset="-79"/>
          </a:endParaRPr>
        </a:p>
      </xdr:txBody>
    </xdr:sp>
    <xdr:clientData/>
  </xdr:twoCellAnchor>
  <xdr:twoCellAnchor>
    <xdr:from>
      <xdr:col>4</xdr:col>
      <xdr:colOff>165100</xdr:colOff>
      <xdr:row>1</xdr:row>
      <xdr:rowOff>44450</xdr:rowOff>
    </xdr:from>
    <xdr:to>
      <xdr:col>16</xdr:col>
      <xdr:colOff>127000</xdr:colOff>
      <xdr:row>18</xdr:row>
      <xdr:rowOff>120650</xdr:rowOff>
    </xdr:to>
    <xdr:sp macro="" textlink="">
      <xdr:nvSpPr>
        <xdr:cNvPr id="28" name="TextBox 27">
          <a:extLst>
            <a:ext uri="{FF2B5EF4-FFF2-40B4-BE49-F238E27FC236}">
              <a16:creationId xmlns:a16="http://schemas.microsoft.com/office/drawing/2014/main" id="{92696952-E053-1211-0BE8-A2C0BB4E617E}"/>
            </a:ext>
          </a:extLst>
        </xdr:cNvPr>
        <xdr:cNvSpPr txBox="1"/>
      </xdr:nvSpPr>
      <xdr:spPr>
        <a:xfrm>
          <a:off x="2603500" y="228600"/>
          <a:ext cx="7277100" cy="32067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lumMod val="20000"/>
                  <a:lumOff val="80000"/>
                </a:schemeClr>
              </a:solidFill>
            </a:rPr>
            <a:t>📦 </a:t>
          </a:r>
          <a:r>
            <a:rPr lang="en-US" sz="2000" b="1">
              <a:solidFill>
                <a:schemeClr val="tx2">
                  <a:lumMod val="20000"/>
                  <a:lumOff val="80000"/>
                </a:schemeClr>
              </a:solidFill>
            </a:rPr>
            <a:t>Executive Summary (Synthetic Dataset)</a:t>
          </a:r>
        </a:p>
        <a:p>
          <a:endParaRPr lang="en-US" sz="2000" b="1">
            <a:solidFill>
              <a:schemeClr val="tx2">
                <a:lumMod val="20000"/>
                <a:lumOff val="80000"/>
              </a:schemeClr>
            </a:solidFill>
          </a:endParaRPr>
        </a:p>
        <a:p>
          <a:r>
            <a:rPr lang="en-US" sz="1600" b="1">
              <a:solidFill>
                <a:schemeClr val="tx2">
                  <a:lumMod val="20000"/>
                  <a:lumOff val="80000"/>
                </a:schemeClr>
              </a:solidFill>
            </a:rPr>
            <a:t>Disclaimer:</a:t>
          </a:r>
          <a:r>
            <a:rPr lang="en-US" sz="1600">
              <a:solidFill>
                <a:schemeClr val="tx2">
                  <a:lumMod val="20000"/>
                  <a:lumOff val="80000"/>
                </a:schemeClr>
              </a:solidFill>
            </a:rPr>
            <a:t> </a:t>
          </a:r>
          <a:r>
            <a:rPr lang="en-US" sz="1600" i="1">
              <a:solidFill>
                <a:schemeClr val="tx2">
                  <a:lumMod val="20000"/>
                  <a:lumOff val="80000"/>
                </a:schemeClr>
              </a:solidFill>
            </a:rPr>
            <a:t>This is a synthetic dataset created for analysis and dashboard demonstration purposes.</a:t>
          </a:r>
          <a:endParaRPr lang="en-US" sz="1600">
            <a:solidFill>
              <a:schemeClr val="tx2">
                <a:lumMod val="20000"/>
                <a:lumOff val="80000"/>
              </a:schemeClr>
            </a:solidFill>
          </a:endParaRPr>
        </a:p>
        <a:p>
          <a:r>
            <a:rPr lang="en-US" sz="1600" b="1">
              <a:solidFill>
                <a:schemeClr val="tx2">
                  <a:lumMod val="20000"/>
                  <a:lumOff val="80000"/>
                </a:schemeClr>
              </a:solidFill>
            </a:rPr>
            <a:t>₹254M Revenue</a:t>
          </a:r>
          <a:r>
            <a:rPr lang="en-US" sz="1600">
              <a:solidFill>
                <a:schemeClr val="tx2">
                  <a:lumMod val="20000"/>
                  <a:lumOff val="80000"/>
                </a:schemeClr>
              </a:solidFill>
            </a:rPr>
            <a:t> — scale that showcases ITC’s FMCG strength.</a:t>
          </a:r>
        </a:p>
        <a:p>
          <a:r>
            <a:rPr lang="en-US" sz="1600" b="1">
              <a:solidFill>
                <a:schemeClr val="tx2">
                  <a:lumMod val="20000"/>
                  <a:lumOff val="80000"/>
                </a:schemeClr>
              </a:solidFill>
            </a:rPr>
            <a:t>94M+ Units Sold</a:t>
          </a:r>
          <a:r>
            <a:rPr lang="en-US" sz="1600">
              <a:solidFill>
                <a:schemeClr val="tx2">
                  <a:lumMod val="20000"/>
                  <a:lumOff val="80000"/>
                </a:schemeClr>
              </a:solidFill>
            </a:rPr>
            <a:t> — volume power across biscuits &amp; candies.</a:t>
          </a:r>
        </a:p>
        <a:p>
          <a:r>
            <a:rPr lang="en-US" sz="1600" b="1">
              <a:solidFill>
                <a:schemeClr val="tx2">
                  <a:lumMod val="20000"/>
                  <a:lumOff val="80000"/>
                </a:schemeClr>
              </a:solidFill>
            </a:rPr>
            <a:t>ASP ₹10.57</a:t>
          </a:r>
          <a:r>
            <a:rPr lang="en-US" sz="1600">
              <a:solidFill>
                <a:schemeClr val="tx2">
                  <a:lumMod val="20000"/>
                  <a:lumOff val="80000"/>
                </a:schemeClr>
              </a:solidFill>
            </a:rPr>
            <a:t> — balance between affordability and profitability.</a:t>
          </a:r>
        </a:p>
        <a:p>
          <a:r>
            <a:rPr lang="en-US" sz="1600" b="1">
              <a:solidFill>
                <a:schemeClr val="tx2">
                  <a:lumMod val="20000"/>
                  <a:lumOff val="80000"/>
                </a:schemeClr>
              </a:solidFill>
            </a:rPr>
            <a:t>Dark Fantasy Choco Fills</a:t>
          </a:r>
          <a:r>
            <a:rPr lang="en-US" sz="1600">
              <a:solidFill>
                <a:schemeClr val="tx2">
                  <a:lumMod val="20000"/>
                  <a:lumOff val="80000"/>
                </a:schemeClr>
              </a:solidFill>
            </a:rPr>
            <a:t> — the star product leading the portfolio.</a:t>
          </a:r>
        </a:p>
        <a:p>
          <a:r>
            <a:rPr lang="en-US" sz="1600" b="1">
              <a:solidFill>
                <a:schemeClr val="tx2">
                  <a:lumMod val="20000"/>
                  <a:lumOff val="80000"/>
                </a:schemeClr>
              </a:solidFill>
            </a:rPr>
            <a:t>Festive Spikes</a:t>
          </a:r>
          <a:r>
            <a:rPr lang="en-US" sz="1600">
              <a:solidFill>
                <a:schemeClr val="tx2">
                  <a:lumMod val="20000"/>
                  <a:lumOff val="80000"/>
                </a:schemeClr>
              </a:solidFill>
            </a:rPr>
            <a:t> — sales peak during celebrations, proving seasonal demand.</a:t>
          </a:r>
        </a:p>
        <a:p>
          <a:r>
            <a:rPr lang="en-US" sz="1600" b="1">
              <a:solidFill>
                <a:schemeClr val="tx2">
                  <a:lumMod val="20000"/>
                  <a:lumOff val="80000"/>
                </a:schemeClr>
              </a:solidFill>
            </a:rPr>
            <a:t>Candyman vs Mint‑O</a:t>
          </a:r>
          <a:r>
            <a:rPr lang="en-US" sz="1600">
              <a:solidFill>
                <a:schemeClr val="tx2">
                  <a:lumMod val="20000"/>
                  <a:lumOff val="80000"/>
                </a:schemeClr>
              </a:solidFill>
            </a:rPr>
            <a:t> — one giant, one challenger, shaping brand dynamics.</a:t>
          </a:r>
        </a:p>
        <a:p>
          <a:r>
            <a:rPr lang="en-US" sz="1600" b="1">
              <a:solidFill>
                <a:schemeClr val="tx2">
                  <a:lumMod val="20000"/>
                  <a:lumOff val="80000"/>
                </a:schemeClr>
              </a:solidFill>
            </a:rPr>
            <a:t>Regional Leaders</a:t>
          </a:r>
          <a:r>
            <a:rPr lang="en-US" sz="1600">
              <a:solidFill>
                <a:schemeClr val="tx2">
                  <a:lumMod val="20000"/>
                  <a:lumOff val="80000"/>
                </a:schemeClr>
              </a:solidFill>
            </a:rPr>
            <a:t> — Kerala &amp; Telangana drive the strongest loyalty.</a:t>
          </a:r>
        </a:p>
        <a:p>
          <a:r>
            <a:rPr lang="en-US" sz="1600" b="1">
              <a:solidFill>
                <a:schemeClr val="tx2">
                  <a:lumMod val="20000"/>
                  <a:lumOff val="80000"/>
                </a:schemeClr>
              </a:solidFill>
            </a:rPr>
            <a:t>Strategic Takeaway:</a:t>
          </a:r>
          <a:r>
            <a:rPr lang="en-US" sz="1600">
              <a:solidFill>
                <a:schemeClr val="tx2">
                  <a:lumMod val="20000"/>
                  <a:lumOff val="80000"/>
                </a:schemeClr>
              </a:solidFill>
            </a:rPr>
            <a:t> </a:t>
          </a:r>
          <a:r>
            <a:rPr lang="en-US" sz="1600" i="1">
              <a:solidFill>
                <a:schemeClr val="tx2">
                  <a:lumMod val="20000"/>
                  <a:lumOff val="80000"/>
                </a:schemeClr>
              </a:solidFill>
            </a:rPr>
            <a:t>Breadth builds the base, but indulgence drives the edge.</a:t>
          </a:r>
          <a:endParaRPr lang="en-US" sz="1600">
            <a:solidFill>
              <a:schemeClr val="tx2">
                <a:lumMod val="20000"/>
                <a:lumOff val="80000"/>
              </a:schemeClr>
            </a:solidFill>
          </a:endParaRPr>
        </a:p>
        <a:p>
          <a:endParaRPr lang="en-US" sz="1600">
            <a:solidFill>
              <a:schemeClr val="tx2">
                <a:lumMod val="20000"/>
                <a:lumOff val="80000"/>
              </a:schemeClr>
            </a:solidFill>
          </a:endParaRPr>
        </a:p>
      </xdr:txBody>
    </xdr:sp>
    <xdr:clientData/>
  </xdr:twoCellAnchor>
  <xdr:twoCellAnchor>
    <xdr:from>
      <xdr:col>4</xdr:col>
      <xdr:colOff>152400</xdr:colOff>
      <xdr:row>19</xdr:row>
      <xdr:rowOff>12700</xdr:rowOff>
    </xdr:from>
    <xdr:to>
      <xdr:col>16</xdr:col>
      <xdr:colOff>127000</xdr:colOff>
      <xdr:row>34</xdr:row>
      <xdr:rowOff>107950</xdr:rowOff>
    </xdr:to>
    <xdr:sp macro="" textlink="">
      <xdr:nvSpPr>
        <xdr:cNvPr id="29" name="TextBox 28">
          <a:extLst>
            <a:ext uri="{FF2B5EF4-FFF2-40B4-BE49-F238E27FC236}">
              <a16:creationId xmlns:a16="http://schemas.microsoft.com/office/drawing/2014/main" id="{87B5B869-F0CC-4F32-85DF-B61D54F589D9}"/>
            </a:ext>
          </a:extLst>
        </xdr:cNvPr>
        <xdr:cNvSpPr txBox="1"/>
      </xdr:nvSpPr>
      <xdr:spPr>
        <a:xfrm>
          <a:off x="2590800" y="3511550"/>
          <a:ext cx="7289800" cy="2857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tx2">
                  <a:lumMod val="20000"/>
                  <a:lumOff val="80000"/>
                </a:schemeClr>
              </a:solidFill>
              <a:latin typeface="+mn-lt"/>
              <a:ea typeface="+mn-ea"/>
              <a:cs typeface="+mn-cs"/>
            </a:rPr>
            <a:t>📄 About Me</a:t>
          </a:r>
        </a:p>
        <a:p>
          <a:pPr marL="0" indent="0"/>
          <a:r>
            <a:rPr lang="en-US" sz="1600" b="1">
              <a:solidFill>
                <a:schemeClr val="tx2">
                  <a:lumMod val="20000"/>
                  <a:lumOff val="80000"/>
                </a:schemeClr>
              </a:solidFill>
              <a:latin typeface="+mn-lt"/>
              <a:ea typeface="+mn-ea"/>
              <a:cs typeface="+mn-cs"/>
            </a:rPr>
            <a:t>      </a:t>
          </a:r>
          <a:r>
            <a:rPr lang="en-US" sz="1600" b="0">
              <a:solidFill>
                <a:schemeClr val="tx2">
                  <a:lumMod val="20000"/>
                  <a:lumOff val="80000"/>
                </a:schemeClr>
              </a:solidFill>
              <a:latin typeface="+mn-lt"/>
              <a:ea typeface="+mn-ea"/>
              <a:cs typeface="+mn-cs"/>
            </a:rPr>
            <a:t>“Data Analyst Intern | Dashboard Designer | Machine Learning Enthusiast”</a:t>
          </a:r>
        </a:p>
        <a:p>
          <a:pPr marL="0" indent="0"/>
          <a:r>
            <a:rPr lang="en-US" sz="1600" b="1">
              <a:solidFill>
                <a:schemeClr val="tx2">
                  <a:lumMod val="20000"/>
                  <a:lumOff val="80000"/>
                </a:schemeClr>
              </a:solidFill>
              <a:latin typeface="+mn-lt"/>
              <a:ea typeface="+mn-ea"/>
              <a:cs typeface="+mn-cs"/>
            </a:rPr>
            <a:t>Name:Favas</a:t>
          </a:r>
          <a:r>
            <a:rPr lang="en-US" sz="1600" b="1" baseline="0">
              <a:solidFill>
                <a:schemeClr val="tx2">
                  <a:lumMod val="20000"/>
                  <a:lumOff val="80000"/>
                </a:schemeClr>
              </a:solidFill>
              <a:latin typeface="+mn-lt"/>
              <a:ea typeface="+mn-ea"/>
              <a:cs typeface="+mn-cs"/>
            </a:rPr>
            <a:t> b</a:t>
          </a:r>
          <a:endParaRPr lang="en-US" sz="1600" b="0">
            <a:solidFill>
              <a:schemeClr val="tx2">
                <a:lumMod val="20000"/>
                <a:lumOff val="80000"/>
              </a:schemeClr>
            </a:solidFill>
            <a:latin typeface="+mn-lt"/>
            <a:ea typeface="+mn-ea"/>
            <a:cs typeface="+mn-cs"/>
          </a:endParaRPr>
        </a:p>
        <a:p>
          <a:pPr marL="0" indent="0"/>
          <a:r>
            <a:rPr lang="en-US" sz="1600" b="1">
              <a:solidFill>
                <a:schemeClr val="tx2">
                  <a:lumMod val="20000"/>
                  <a:lumOff val="80000"/>
                </a:schemeClr>
              </a:solidFill>
              <a:latin typeface="+mn-lt"/>
              <a:ea typeface="+mn-ea"/>
              <a:cs typeface="+mn-cs"/>
            </a:rPr>
            <a:t>Role: </a:t>
          </a:r>
          <a:r>
            <a:rPr lang="en-US" sz="1600" b="0">
              <a:solidFill>
                <a:schemeClr val="tx2">
                  <a:lumMod val="20000"/>
                  <a:lumOff val="80000"/>
                </a:schemeClr>
              </a:solidFill>
              <a:latin typeface="+mn-lt"/>
              <a:ea typeface="+mn-ea"/>
              <a:cs typeface="+mn-cs"/>
            </a:rPr>
            <a:t>Data Analyst Intern </a:t>
          </a:r>
        </a:p>
        <a:p>
          <a:pPr marL="0" indent="0"/>
          <a:r>
            <a:rPr lang="en-US" sz="1600" b="1">
              <a:solidFill>
                <a:schemeClr val="tx2">
                  <a:lumMod val="20000"/>
                  <a:lumOff val="80000"/>
                </a:schemeClr>
              </a:solidFill>
              <a:latin typeface="+mn-lt"/>
              <a:ea typeface="+mn-ea"/>
              <a:cs typeface="+mn-cs"/>
            </a:rPr>
            <a:t>Specialization: </a:t>
          </a:r>
          <a:r>
            <a:rPr lang="en-US" sz="1600" b="0">
              <a:solidFill>
                <a:schemeClr val="tx2">
                  <a:lumMod val="20000"/>
                  <a:lumOff val="80000"/>
                </a:schemeClr>
              </a:solidFill>
              <a:latin typeface="+mn-lt"/>
              <a:ea typeface="+mn-ea"/>
              <a:cs typeface="+mn-cs"/>
            </a:rPr>
            <a:t>Client‑ready dashboards, machine learning solutions, reproducible workflows</a:t>
          </a:r>
        </a:p>
        <a:p>
          <a:pPr marL="0" indent="0"/>
          <a:r>
            <a:rPr lang="en-US" sz="1600" b="1">
              <a:solidFill>
                <a:schemeClr val="tx2">
                  <a:lumMod val="20000"/>
                  <a:lumOff val="80000"/>
                </a:schemeClr>
              </a:solidFill>
              <a:latin typeface="+mn-lt"/>
              <a:ea typeface="+mn-ea"/>
              <a:cs typeface="+mn-cs"/>
            </a:rPr>
            <a:t>Strengths: </a:t>
          </a:r>
          <a:r>
            <a:rPr lang="en-US" sz="1600" b="0">
              <a:solidFill>
                <a:schemeClr val="tx2">
                  <a:lumMod val="20000"/>
                  <a:lumOff val="80000"/>
                </a:schemeClr>
              </a:solidFill>
              <a:latin typeface="+mn-lt"/>
              <a:ea typeface="+mn-ea"/>
              <a:cs typeface="+mn-cs"/>
            </a:rPr>
            <a:t>Python, Power BI, Excel, Tableau, UI/UX for dashboards</a:t>
          </a:r>
        </a:p>
        <a:p>
          <a:pPr marL="0" indent="0"/>
          <a:r>
            <a:rPr lang="en-US" sz="1600" b="1">
              <a:solidFill>
                <a:schemeClr val="tx2">
                  <a:lumMod val="20000"/>
                  <a:lumOff val="80000"/>
                </a:schemeClr>
              </a:solidFill>
              <a:latin typeface="+mn-lt"/>
              <a:ea typeface="+mn-ea"/>
              <a:cs typeface="+mn-cs"/>
            </a:rPr>
            <a:t>Contact</a:t>
          </a:r>
          <a:r>
            <a:rPr lang="en-US" sz="1600"/>
            <a:t> </a:t>
          </a:r>
          <a:r>
            <a:rPr lang="en-US" sz="1600" b="1">
              <a:solidFill>
                <a:schemeClr val="tx2">
                  <a:lumMod val="20000"/>
                  <a:lumOff val="80000"/>
                </a:schemeClr>
              </a:solidFill>
              <a:latin typeface="+mn-lt"/>
              <a:ea typeface="+mn-ea"/>
              <a:cs typeface="+mn-cs"/>
            </a:rPr>
            <a:t>Info: </a:t>
          </a:r>
        </a:p>
        <a:p>
          <a:pPr marL="0" indent="0"/>
          <a:r>
            <a:rPr lang="en-US" sz="1600" b="1" u="dbl">
              <a:solidFill>
                <a:schemeClr val="tx2">
                  <a:lumMod val="20000"/>
                  <a:lumOff val="80000"/>
                </a:schemeClr>
              </a:solidFill>
              <a:latin typeface="+mn-lt"/>
              <a:ea typeface="+mn-ea"/>
              <a:cs typeface="+mn-cs"/>
            </a:rPr>
            <a:t>     </a:t>
          </a:r>
        </a:p>
      </xdr:txBody>
    </xdr:sp>
    <xdr:clientData/>
  </xdr:twoCellAnchor>
  <xdr:twoCellAnchor>
    <xdr:from>
      <xdr:col>4</xdr:col>
      <xdr:colOff>279400</xdr:colOff>
      <xdr:row>32</xdr:row>
      <xdr:rowOff>101600</xdr:rowOff>
    </xdr:from>
    <xdr:to>
      <xdr:col>6</xdr:col>
      <xdr:colOff>95250</xdr:colOff>
      <xdr:row>33</xdr:row>
      <xdr:rowOff>165100</xdr:rowOff>
    </xdr:to>
    <xdr:sp macro="" textlink="">
      <xdr:nvSpPr>
        <xdr:cNvPr id="33" name="Rectangle 32">
          <a:hlinkClick xmlns:r="http://schemas.openxmlformats.org/officeDocument/2006/relationships" r:id="rId6" tooltip="GitHub"/>
          <a:extLst>
            <a:ext uri="{FF2B5EF4-FFF2-40B4-BE49-F238E27FC236}">
              <a16:creationId xmlns:a16="http://schemas.microsoft.com/office/drawing/2014/main" id="{1E5F7B82-E06A-4854-A879-54854F337066}"/>
            </a:ext>
          </a:extLst>
        </xdr:cNvPr>
        <xdr:cNvSpPr/>
      </xdr:nvSpPr>
      <xdr:spPr>
        <a:xfrm>
          <a:off x="2717800" y="5994400"/>
          <a:ext cx="1035050"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lt1"/>
            </a:solidFill>
          </a:endParaRPr>
        </a:p>
      </xdr:txBody>
    </xdr:sp>
    <xdr:clientData/>
  </xdr:twoCellAnchor>
  <xdr:twoCellAnchor editAs="oneCell">
    <xdr:from>
      <xdr:col>1</xdr:col>
      <xdr:colOff>56158</xdr:colOff>
      <xdr:row>0</xdr:row>
      <xdr:rowOff>0</xdr:rowOff>
    </xdr:from>
    <xdr:to>
      <xdr:col>2</xdr:col>
      <xdr:colOff>458192</xdr:colOff>
      <xdr:row>4</xdr:row>
      <xdr:rowOff>146050</xdr:rowOff>
    </xdr:to>
    <xdr:pic>
      <xdr:nvPicPr>
        <xdr:cNvPr id="34" name="Picture 33">
          <a:extLst>
            <a:ext uri="{FF2B5EF4-FFF2-40B4-BE49-F238E27FC236}">
              <a16:creationId xmlns:a16="http://schemas.microsoft.com/office/drawing/2014/main" id="{990B0D13-C714-4FBD-BFD4-4C7462520987}"/>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4924" t="12820" r="25846" b="12927"/>
        <a:stretch>
          <a:fillRect/>
        </a:stretch>
      </xdr:blipFill>
      <xdr:spPr>
        <a:xfrm>
          <a:off x="661392" y="0"/>
          <a:ext cx="1007269" cy="90011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J" refreshedDate="45961.722415277778" createdVersion="8" refreshedVersion="8" minRefreshableVersion="3" recordCount="2112" xr:uid="{0A611E53-97D8-435F-A4CB-85ED3859B135}">
  <cacheSource type="worksheet">
    <worksheetSource name="Table1"/>
  </cacheSource>
  <cacheFields count="10">
    <cacheField name="Date" numFmtId="0">
      <sharedItems count="12">
        <s v="2024-01-01"/>
        <s v="2024-02-01"/>
        <s v="2024-03-01"/>
        <s v="2024-04-01"/>
        <s v="2024-05-01"/>
        <s v="2024-06-01"/>
        <s v="2024-07-01"/>
        <s v="2024-08-01"/>
        <s v="2024-09-01"/>
        <s v="2024-10-01"/>
        <s v="2024-11-01"/>
        <s v="2024-12-01"/>
      </sharedItems>
    </cacheField>
    <cacheField name="State" numFmtId="0">
      <sharedItems count="22">
        <s v="Delhi"/>
        <s v="Haryana"/>
        <s v="Punjab"/>
        <s v="Uttar Pradesh"/>
        <s v="Uttarakhand"/>
        <s v="Himachal Pradesh"/>
        <s v="Jammu &amp; Kashmir"/>
        <s v="Karnataka"/>
        <s v="Kerala"/>
        <s v="Tamil Nadu"/>
        <s v="Andhra Pradesh"/>
        <s v="Telangana"/>
        <s v="West Bengal"/>
        <s v="Odisha"/>
        <s v="Bihar"/>
        <s v="Jharkhand"/>
        <s v="Assam"/>
        <s v="Maharashtra"/>
        <s v="Gujarat"/>
        <s v="Rajasthan"/>
        <s v="Madhya Pradesh"/>
        <s v="Goa"/>
      </sharedItems>
    </cacheField>
    <cacheField name="Region" numFmtId="0">
      <sharedItems/>
    </cacheField>
    <cacheField name="Product Category" numFmtId="0">
      <sharedItems count="2">
        <s v="Biscuits"/>
        <s v="Candies"/>
      </sharedItems>
    </cacheField>
    <cacheField name="Brand" numFmtId="0">
      <sharedItems count="3">
        <s v="Sunfeast"/>
        <s v="Candyman"/>
        <s v="Mint-O"/>
      </sharedItems>
    </cacheField>
    <cacheField name="Product Name" numFmtId="0">
      <sharedItems count="8">
        <s v="Marie Light"/>
        <s v="Farmlite Oats Digestive"/>
        <s v="Dark Fantasy Choco Fills"/>
        <s v="All Rounder Masala"/>
        <s v="Fruitee Fun (Mango)"/>
        <s v="Fruitee Fun (Orange)"/>
        <s v="Fantastik Éclairs"/>
        <s v="Mint-O Fresh"/>
      </sharedItems>
    </cacheField>
    <cacheField name="Units Sold" numFmtId="0">
      <sharedItems containsSemiMixedTypes="0" containsString="0" containsNumber="1" containsInteger="1" minValue="5007" maxValue="23136"/>
    </cacheField>
    <cacheField name="Unit Price (₹)" numFmtId="0">
      <sharedItems containsSemiMixedTypes="0" containsString="0" containsNumber="1" containsInteger="1" minValue="2" maxValue="30"/>
    </cacheField>
    <cacheField name="Revenue (₹)" numFmtId="0">
      <sharedItems containsSemiMixedTypes="0" containsString="0" containsNumber="1" containsInteger="1" minValue="10038" maxValue="679710"/>
    </cacheField>
    <cacheField name="Channel" numFmtId="0">
      <sharedItems/>
    </cacheField>
  </cacheFields>
  <extLst>
    <ext xmlns:x14="http://schemas.microsoft.com/office/spreadsheetml/2009/9/main" uri="{725AE2AE-9491-48be-B2B4-4EB974FC3084}">
      <x14:pivotCacheDefinition pivotCacheId="723245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12">
  <r>
    <x v="0"/>
    <x v="0"/>
    <s v="North"/>
    <x v="0"/>
    <x v="0"/>
    <x v="0"/>
    <n v="8231"/>
    <n v="10"/>
    <n v="82310"/>
    <s v="E-commerce"/>
  </r>
  <r>
    <x v="0"/>
    <x v="0"/>
    <s v="North"/>
    <x v="0"/>
    <x v="0"/>
    <x v="1"/>
    <n v="12998"/>
    <n v="20"/>
    <n v="259960"/>
    <s v="Retail"/>
  </r>
  <r>
    <x v="0"/>
    <x v="0"/>
    <s v="North"/>
    <x v="0"/>
    <x v="0"/>
    <x v="2"/>
    <n v="12355"/>
    <n v="30"/>
    <n v="370650"/>
    <s v="Retail"/>
  </r>
  <r>
    <x v="0"/>
    <x v="0"/>
    <s v="North"/>
    <x v="0"/>
    <x v="0"/>
    <x v="3"/>
    <n v="13885"/>
    <n v="15"/>
    <n v="208275"/>
    <s v="Wholesale"/>
  </r>
  <r>
    <x v="0"/>
    <x v="0"/>
    <s v="North"/>
    <x v="1"/>
    <x v="1"/>
    <x v="4"/>
    <n v="6966"/>
    <n v="2"/>
    <n v="13932"/>
    <s v="Wholesale"/>
  </r>
  <r>
    <x v="0"/>
    <x v="0"/>
    <s v="North"/>
    <x v="1"/>
    <x v="1"/>
    <x v="5"/>
    <n v="14797"/>
    <n v="2"/>
    <n v="29594"/>
    <s v="Retail"/>
  </r>
  <r>
    <x v="0"/>
    <x v="0"/>
    <s v="North"/>
    <x v="1"/>
    <x v="1"/>
    <x v="6"/>
    <n v="7555"/>
    <n v="5"/>
    <n v="37775"/>
    <s v="E-commerce"/>
  </r>
  <r>
    <x v="0"/>
    <x v="0"/>
    <s v="North"/>
    <x v="1"/>
    <x v="2"/>
    <x v="7"/>
    <n v="12185"/>
    <n v="3"/>
    <n v="36555"/>
    <s v="E-commerce"/>
  </r>
  <r>
    <x v="0"/>
    <x v="1"/>
    <s v="North"/>
    <x v="0"/>
    <x v="0"/>
    <x v="0"/>
    <n v="8798"/>
    <n v="10"/>
    <n v="87980"/>
    <s v="Wholesale"/>
  </r>
  <r>
    <x v="0"/>
    <x v="1"/>
    <s v="North"/>
    <x v="0"/>
    <x v="0"/>
    <x v="1"/>
    <n v="13338"/>
    <n v="20"/>
    <n v="266760"/>
    <s v="Retail"/>
  </r>
  <r>
    <x v="0"/>
    <x v="1"/>
    <s v="North"/>
    <x v="0"/>
    <x v="0"/>
    <x v="2"/>
    <n v="12159"/>
    <n v="30"/>
    <n v="364770"/>
    <s v="Wholesale"/>
  </r>
  <r>
    <x v="0"/>
    <x v="1"/>
    <s v="North"/>
    <x v="0"/>
    <x v="0"/>
    <x v="3"/>
    <n v="10592"/>
    <n v="15"/>
    <n v="158880"/>
    <s v="Wholesale"/>
  </r>
  <r>
    <x v="0"/>
    <x v="1"/>
    <s v="North"/>
    <x v="1"/>
    <x v="1"/>
    <x v="4"/>
    <n v="8371"/>
    <n v="2"/>
    <n v="16742"/>
    <s v="Retail"/>
  </r>
  <r>
    <x v="0"/>
    <x v="1"/>
    <s v="North"/>
    <x v="1"/>
    <x v="1"/>
    <x v="5"/>
    <n v="10365"/>
    <n v="2"/>
    <n v="20730"/>
    <s v="Wholesale"/>
  </r>
  <r>
    <x v="0"/>
    <x v="1"/>
    <s v="North"/>
    <x v="1"/>
    <x v="1"/>
    <x v="6"/>
    <n v="7759"/>
    <n v="5"/>
    <n v="38795"/>
    <s v="Retail"/>
  </r>
  <r>
    <x v="0"/>
    <x v="1"/>
    <s v="North"/>
    <x v="1"/>
    <x v="2"/>
    <x v="7"/>
    <n v="14875"/>
    <n v="3"/>
    <n v="44625"/>
    <s v="Retail"/>
  </r>
  <r>
    <x v="0"/>
    <x v="2"/>
    <s v="North"/>
    <x v="0"/>
    <x v="0"/>
    <x v="0"/>
    <n v="5991"/>
    <n v="10"/>
    <n v="59910"/>
    <s v="E-commerce"/>
  </r>
  <r>
    <x v="0"/>
    <x v="2"/>
    <s v="North"/>
    <x v="0"/>
    <x v="0"/>
    <x v="1"/>
    <n v="12895"/>
    <n v="20"/>
    <n v="257900"/>
    <s v="Wholesale"/>
  </r>
  <r>
    <x v="0"/>
    <x v="2"/>
    <s v="North"/>
    <x v="0"/>
    <x v="0"/>
    <x v="2"/>
    <n v="6439"/>
    <n v="30"/>
    <n v="193170"/>
    <s v="Retail"/>
  </r>
  <r>
    <x v="0"/>
    <x v="2"/>
    <s v="North"/>
    <x v="0"/>
    <x v="0"/>
    <x v="3"/>
    <n v="9909"/>
    <n v="15"/>
    <n v="148635"/>
    <s v="E-commerce"/>
  </r>
  <r>
    <x v="0"/>
    <x v="2"/>
    <s v="North"/>
    <x v="1"/>
    <x v="1"/>
    <x v="4"/>
    <n v="11270"/>
    <n v="2"/>
    <n v="22540"/>
    <s v="Retail"/>
  </r>
  <r>
    <x v="0"/>
    <x v="2"/>
    <s v="North"/>
    <x v="1"/>
    <x v="1"/>
    <x v="5"/>
    <n v="14271"/>
    <n v="2"/>
    <n v="28542"/>
    <s v="Retail"/>
  </r>
  <r>
    <x v="0"/>
    <x v="2"/>
    <s v="North"/>
    <x v="1"/>
    <x v="1"/>
    <x v="6"/>
    <n v="6270"/>
    <n v="5"/>
    <n v="31350"/>
    <s v="Retail"/>
  </r>
  <r>
    <x v="0"/>
    <x v="2"/>
    <s v="North"/>
    <x v="1"/>
    <x v="2"/>
    <x v="7"/>
    <n v="7006"/>
    <n v="3"/>
    <n v="21018"/>
    <s v="Wholesale"/>
  </r>
  <r>
    <x v="0"/>
    <x v="3"/>
    <s v="North"/>
    <x v="0"/>
    <x v="0"/>
    <x v="0"/>
    <n v="14578"/>
    <n v="10"/>
    <n v="145780"/>
    <s v="Wholesale"/>
  </r>
  <r>
    <x v="0"/>
    <x v="3"/>
    <s v="North"/>
    <x v="0"/>
    <x v="0"/>
    <x v="1"/>
    <n v="10537"/>
    <n v="20"/>
    <n v="210740"/>
    <s v="E-commerce"/>
  </r>
  <r>
    <x v="0"/>
    <x v="3"/>
    <s v="North"/>
    <x v="0"/>
    <x v="0"/>
    <x v="2"/>
    <n v="5709"/>
    <n v="30"/>
    <n v="171270"/>
    <s v="Retail"/>
  </r>
  <r>
    <x v="0"/>
    <x v="3"/>
    <s v="North"/>
    <x v="0"/>
    <x v="0"/>
    <x v="3"/>
    <n v="5276"/>
    <n v="15"/>
    <n v="79140"/>
    <s v="E-commerce"/>
  </r>
  <r>
    <x v="0"/>
    <x v="3"/>
    <s v="North"/>
    <x v="1"/>
    <x v="1"/>
    <x v="4"/>
    <n v="9398"/>
    <n v="2"/>
    <n v="18796"/>
    <s v="E-commerce"/>
  </r>
  <r>
    <x v="0"/>
    <x v="3"/>
    <s v="North"/>
    <x v="1"/>
    <x v="1"/>
    <x v="5"/>
    <n v="5950"/>
    <n v="2"/>
    <n v="11900"/>
    <s v="E-commerce"/>
  </r>
  <r>
    <x v="0"/>
    <x v="3"/>
    <s v="North"/>
    <x v="1"/>
    <x v="1"/>
    <x v="6"/>
    <n v="9262"/>
    <n v="5"/>
    <n v="46310"/>
    <s v="Wholesale"/>
  </r>
  <r>
    <x v="0"/>
    <x v="3"/>
    <s v="North"/>
    <x v="1"/>
    <x v="2"/>
    <x v="7"/>
    <n v="12777"/>
    <n v="3"/>
    <n v="38331"/>
    <s v="E-commerce"/>
  </r>
  <r>
    <x v="0"/>
    <x v="4"/>
    <s v="North"/>
    <x v="0"/>
    <x v="0"/>
    <x v="0"/>
    <n v="12145"/>
    <n v="10"/>
    <n v="121450"/>
    <s v="Retail"/>
  </r>
  <r>
    <x v="0"/>
    <x v="4"/>
    <s v="North"/>
    <x v="0"/>
    <x v="0"/>
    <x v="1"/>
    <n v="8661"/>
    <n v="20"/>
    <n v="173220"/>
    <s v="E-commerce"/>
  </r>
  <r>
    <x v="0"/>
    <x v="4"/>
    <s v="North"/>
    <x v="0"/>
    <x v="0"/>
    <x v="2"/>
    <n v="13456"/>
    <n v="30"/>
    <n v="403680"/>
    <s v="Retail"/>
  </r>
  <r>
    <x v="0"/>
    <x v="4"/>
    <s v="North"/>
    <x v="0"/>
    <x v="0"/>
    <x v="3"/>
    <n v="6160"/>
    <n v="15"/>
    <n v="92400"/>
    <s v="Retail"/>
  </r>
  <r>
    <x v="0"/>
    <x v="4"/>
    <s v="North"/>
    <x v="1"/>
    <x v="1"/>
    <x v="4"/>
    <n v="7493"/>
    <n v="2"/>
    <n v="14986"/>
    <s v="Wholesale"/>
  </r>
  <r>
    <x v="0"/>
    <x v="4"/>
    <s v="North"/>
    <x v="1"/>
    <x v="1"/>
    <x v="5"/>
    <n v="6592"/>
    <n v="2"/>
    <n v="13184"/>
    <s v="Wholesale"/>
  </r>
  <r>
    <x v="0"/>
    <x v="4"/>
    <s v="North"/>
    <x v="1"/>
    <x v="1"/>
    <x v="6"/>
    <n v="5993"/>
    <n v="5"/>
    <n v="29965"/>
    <s v="Wholesale"/>
  </r>
  <r>
    <x v="0"/>
    <x v="4"/>
    <s v="North"/>
    <x v="1"/>
    <x v="2"/>
    <x v="7"/>
    <n v="5764"/>
    <n v="3"/>
    <n v="17292"/>
    <s v="Retail"/>
  </r>
  <r>
    <x v="0"/>
    <x v="5"/>
    <s v="North"/>
    <x v="0"/>
    <x v="0"/>
    <x v="0"/>
    <n v="12566"/>
    <n v="10"/>
    <n v="125660"/>
    <s v="Wholesale"/>
  </r>
  <r>
    <x v="0"/>
    <x v="5"/>
    <s v="North"/>
    <x v="0"/>
    <x v="0"/>
    <x v="1"/>
    <n v="13933"/>
    <n v="20"/>
    <n v="278660"/>
    <s v="Wholesale"/>
  </r>
  <r>
    <x v="0"/>
    <x v="5"/>
    <s v="North"/>
    <x v="0"/>
    <x v="0"/>
    <x v="2"/>
    <n v="7777"/>
    <n v="30"/>
    <n v="233310"/>
    <s v="Wholesale"/>
  </r>
  <r>
    <x v="0"/>
    <x v="5"/>
    <s v="North"/>
    <x v="0"/>
    <x v="0"/>
    <x v="3"/>
    <n v="14923"/>
    <n v="15"/>
    <n v="223845"/>
    <s v="Wholesale"/>
  </r>
  <r>
    <x v="0"/>
    <x v="5"/>
    <s v="North"/>
    <x v="1"/>
    <x v="1"/>
    <x v="4"/>
    <n v="7592"/>
    <n v="2"/>
    <n v="15184"/>
    <s v="E-commerce"/>
  </r>
  <r>
    <x v="0"/>
    <x v="5"/>
    <s v="North"/>
    <x v="1"/>
    <x v="1"/>
    <x v="5"/>
    <n v="6659"/>
    <n v="2"/>
    <n v="13318"/>
    <s v="Wholesale"/>
  </r>
  <r>
    <x v="0"/>
    <x v="5"/>
    <s v="North"/>
    <x v="1"/>
    <x v="1"/>
    <x v="6"/>
    <n v="6829"/>
    <n v="5"/>
    <n v="34145"/>
    <s v="Retail"/>
  </r>
  <r>
    <x v="0"/>
    <x v="5"/>
    <s v="North"/>
    <x v="1"/>
    <x v="2"/>
    <x v="7"/>
    <n v="13153"/>
    <n v="3"/>
    <n v="39459"/>
    <s v="Retail"/>
  </r>
  <r>
    <x v="0"/>
    <x v="6"/>
    <s v="North"/>
    <x v="0"/>
    <x v="0"/>
    <x v="0"/>
    <n v="8116"/>
    <n v="10"/>
    <n v="81160"/>
    <s v="E-commerce"/>
  </r>
  <r>
    <x v="0"/>
    <x v="6"/>
    <s v="North"/>
    <x v="0"/>
    <x v="0"/>
    <x v="1"/>
    <n v="9876"/>
    <n v="20"/>
    <n v="197520"/>
    <s v="E-commerce"/>
  </r>
  <r>
    <x v="0"/>
    <x v="6"/>
    <s v="North"/>
    <x v="0"/>
    <x v="0"/>
    <x v="2"/>
    <n v="12669"/>
    <n v="30"/>
    <n v="380070"/>
    <s v="Wholesale"/>
  </r>
  <r>
    <x v="0"/>
    <x v="6"/>
    <s v="North"/>
    <x v="0"/>
    <x v="0"/>
    <x v="3"/>
    <n v="8943"/>
    <n v="15"/>
    <n v="134145"/>
    <s v="Wholesale"/>
  </r>
  <r>
    <x v="0"/>
    <x v="6"/>
    <s v="North"/>
    <x v="1"/>
    <x v="1"/>
    <x v="4"/>
    <n v="14936"/>
    <n v="2"/>
    <n v="29872"/>
    <s v="Wholesale"/>
  </r>
  <r>
    <x v="0"/>
    <x v="6"/>
    <s v="North"/>
    <x v="1"/>
    <x v="1"/>
    <x v="5"/>
    <n v="6108"/>
    <n v="2"/>
    <n v="12216"/>
    <s v="E-commerce"/>
  </r>
  <r>
    <x v="0"/>
    <x v="6"/>
    <s v="North"/>
    <x v="1"/>
    <x v="1"/>
    <x v="6"/>
    <n v="12492"/>
    <n v="5"/>
    <n v="62460"/>
    <s v="Wholesale"/>
  </r>
  <r>
    <x v="0"/>
    <x v="6"/>
    <s v="North"/>
    <x v="1"/>
    <x v="2"/>
    <x v="7"/>
    <n v="14613"/>
    <n v="3"/>
    <n v="43839"/>
    <s v="Wholesale"/>
  </r>
  <r>
    <x v="0"/>
    <x v="7"/>
    <s v="South"/>
    <x v="0"/>
    <x v="0"/>
    <x v="0"/>
    <n v="10866"/>
    <n v="10"/>
    <n v="108660"/>
    <s v="Retail"/>
  </r>
  <r>
    <x v="0"/>
    <x v="7"/>
    <s v="South"/>
    <x v="0"/>
    <x v="0"/>
    <x v="1"/>
    <n v="5262"/>
    <n v="20"/>
    <n v="105240"/>
    <s v="Retail"/>
  </r>
  <r>
    <x v="0"/>
    <x v="7"/>
    <s v="South"/>
    <x v="0"/>
    <x v="0"/>
    <x v="2"/>
    <n v="14765"/>
    <n v="30"/>
    <n v="442950"/>
    <s v="Retail"/>
  </r>
  <r>
    <x v="0"/>
    <x v="7"/>
    <s v="South"/>
    <x v="0"/>
    <x v="0"/>
    <x v="3"/>
    <n v="13842"/>
    <n v="15"/>
    <n v="207630"/>
    <s v="Retail"/>
  </r>
  <r>
    <x v="0"/>
    <x v="7"/>
    <s v="South"/>
    <x v="1"/>
    <x v="1"/>
    <x v="4"/>
    <n v="12999"/>
    <n v="2"/>
    <n v="25998"/>
    <s v="Retail"/>
  </r>
  <r>
    <x v="0"/>
    <x v="7"/>
    <s v="South"/>
    <x v="1"/>
    <x v="1"/>
    <x v="5"/>
    <n v="9079"/>
    <n v="2"/>
    <n v="18158"/>
    <s v="Wholesale"/>
  </r>
  <r>
    <x v="0"/>
    <x v="7"/>
    <s v="South"/>
    <x v="1"/>
    <x v="1"/>
    <x v="6"/>
    <n v="14802"/>
    <n v="5"/>
    <n v="74010"/>
    <s v="E-commerce"/>
  </r>
  <r>
    <x v="0"/>
    <x v="7"/>
    <s v="South"/>
    <x v="1"/>
    <x v="2"/>
    <x v="7"/>
    <n v="7012"/>
    <n v="3"/>
    <n v="21036"/>
    <s v="E-commerce"/>
  </r>
  <r>
    <x v="0"/>
    <x v="8"/>
    <s v="South"/>
    <x v="0"/>
    <x v="0"/>
    <x v="0"/>
    <n v="14253"/>
    <n v="10"/>
    <n v="142530"/>
    <s v="Wholesale"/>
  </r>
  <r>
    <x v="0"/>
    <x v="8"/>
    <s v="South"/>
    <x v="0"/>
    <x v="0"/>
    <x v="1"/>
    <n v="11286"/>
    <n v="20"/>
    <n v="225720"/>
    <s v="E-commerce"/>
  </r>
  <r>
    <x v="0"/>
    <x v="8"/>
    <s v="South"/>
    <x v="0"/>
    <x v="0"/>
    <x v="2"/>
    <n v="5471"/>
    <n v="30"/>
    <n v="164130"/>
    <s v="E-commerce"/>
  </r>
  <r>
    <x v="0"/>
    <x v="8"/>
    <s v="South"/>
    <x v="0"/>
    <x v="0"/>
    <x v="3"/>
    <n v="7764"/>
    <n v="15"/>
    <n v="116460"/>
    <s v="Wholesale"/>
  </r>
  <r>
    <x v="0"/>
    <x v="8"/>
    <s v="South"/>
    <x v="1"/>
    <x v="1"/>
    <x v="4"/>
    <n v="5424"/>
    <n v="2"/>
    <n v="10848"/>
    <s v="Wholesale"/>
  </r>
  <r>
    <x v="0"/>
    <x v="8"/>
    <s v="South"/>
    <x v="1"/>
    <x v="1"/>
    <x v="5"/>
    <n v="13304"/>
    <n v="2"/>
    <n v="26608"/>
    <s v="Retail"/>
  </r>
  <r>
    <x v="0"/>
    <x v="8"/>
    <s v="South"/>
    <x v="1"/>
    <x v="1"/>
    <x v="6"/>
    <n v="11858"/>
    <n v="5"/>
    <n v="59290"/>
    <s v="Retail"/>
  </r>
  <r>
    <x v="0"/>
    <x v="8"/>
    <s v="South"/>
    <x v="1"/>
    <x v="2"/>
    <x v="7"/>
    <n v="14159"/>
    <n v="3"/>
    <n v="42477"/>
    <s v="E-commerce"/>
  </r>
  <r>
    <x v="0"/>
    <x v="9"/>
    <s v="South"/>
    <x v="0"/>
    <x v="0"/>
    <x v="0"/>
    <n v="10249"/>
    <n v="10"/>
    <n v="102490"/>
    <s v="E-commerce"/>
  </r>
  <r>
    <x v="0"/>
    <x v="9"/>
    <s v="South"/>
    <x v="0"/>
    <x v="0"/>
    <x v="1"/>
    <n v="13045"/>
    <n v="20"/>
    <n v="260900"/>
    <s v="E-commerce"/>
  </r>
  <r>
    <x v="0"/>
    <x v="9"/>
    <s v="South"/>
    <x v="0"/>
    <x v="0"/>
    <x v="2"/>
    <n v="6101"/>
    <n v="30"/>
    <n v="183030"/>
    <s v="Wholesale"/>
  </r>
  <r>
    <x v="0"/>
    <x v="9"/>
    <s v="South"/>
    <x v="0"/>
    <x v="0"/>
    <x v="3"/>
    <n v="9774"/>
    <n v="15"/>
    <n v="146610"/>
    <s v="Retail"/>
  </r>
  <r>
    <x v="0"/>
    <x v="9"/>
    <s v="South"/>
    <x v="1"/>
    <x v="1"/>
    <x v="4"/>
    <n v="8332"/>
    <n v="2"/>
    <n v="16664"/>
    <s v="Retail"/>
  </r>
  <r>
    <x v="0"/>
    <x v="9"/>
    <s v="South"/>
    <x v="1"/>
    <x v="1"/>
    <x v="5"/>
    <n v="5611"/>
    <n v="2"/>
    <n v="11222"/>
    <s v="E-commerce"/>
  </r>
  <r>
    <x v="0"/>
    <x v="9"/>
    <s v="South"/>
    <x v="1"/>
    <x v="1"/>
    <x v="6"/>
    <n v="12565"/>
    <n v="5"/>
    <n v="62825"/>
    <s v="E-commerce"/>
  </r>
  <r>
    <x v="0"/>
    <x v="9"/>
    <s v="South"/>
    <x v="1"/>
    <x v="2"/>
    <x v="7"/>
    <n v="6294"/>
    <n v="3"/>
    <n v="18882"/>
    <s v="Retail"/>
  </r>
  <r>
    <x v="0"/>
    <x v="10"/>
    <s v="South"/>
    <x v="0"/>
    <x v="0"/>
    <x v="0"/>
    <n v="14465"/>
    <n v="10"/>
    <n v="144650"/>
    <s v="E-commerce"/>
  </r>
  <r>
    <x v="0"/>
    <x v="10"/>
    <s v="South"/>
    <x v="0"/>
    <x v="0"/>
    <x v="1"/>
    <n v="5773"/>
    <n v="20"/>
    <n v="115460"/>
    <s v="Retail"/>
  </r>
  <r>
    <x v="0"/>
    <x v="10"/>
    <s v="South"/>
    <x v="0"/>
    <x v="0"/>
    <x v="2"/>
    <n v="14634"/>
    <n v="30"/>
    <n v="439020"/>
    <s v="Retail"/>
  </r>
  <r>
    <x v="0"/>
    <x v="10"/>
    <s v="South"/>
    <x v="0"/>
    <x v="0"/>
    <x v="3"/>
    <n v="7636"/>
    <n v="15"/>
    <n v="114540"/>
    <s v="E-commerce"/>
  </r>
  <r>
    <x v="0"/>
    <x v="10"/>
    <s v="South"/>
    <x v="1"/>
    <x v="1"/>
    <x v="4"/>
    <n v="10706"/>
    <n v="2"/>
    <n v="21412"/>
    <s v="Retail"/>
  </r>
  <r>
    <x v="0"/>
    <x v="10"/>
    <s v="South"/>
    <x v="1"/>
    <x v="1"/>
    <x v="5"/>
    <n v="14220"/>
    <n v="2"/>
    <n v="28440"/>
    <s v="Retail"/>
  </r>
  <r>
    <x v="0"/>
    <x v="10"/>
    <s v="South"/>
    <x v="1"/>
    <x v="1"/>
    <x v="6"/>
    <n v="14449"/>
    <n v="5"/>
    <n v="72245"/>
    <s v="E-commerce"/>
  </r>
  <r>
    <x v="0"/>
    <x v="10"/>
    <s v="South"/>
    <x v="1"/>
    <x v="2"/>
    <x v="7"/>
    <n v="13044"/>
    <n v="3"/>
    <n v="39132"/>
    <s v="Wholesale"/>
  </r>
  <r>
    <x v="0"/>
    <x v="11"/>
    <s v="South"/>
    <x v="0"/>
    <x v="0"/>
    <x v="0"/>
    <n v="7333"/>
    <n v="10"/>
    <n v="73330"/>
    <s v="Wholesale"/>
  </r>
  <r>
    <x v="0"/>
    <x v="11"/>
    <s v="South"/>
    <x v="0"/>
    <x v="0"/>
    <x v="1"/>
    <n v="12058"/>
    <n v="20"/>
    <n v="241160"/>
    <s v="Wholesale"/>
  </r>
  <r>
    <x v="0"/>
    <x v="11"/>
    <s v="South"/>
    <x v="0"/>
    <x v="0"/>
    <x v="2"/>
    <n v="9489"/>
    <n v="30"/>
    <n v="284670"/>
    <s v="E-commerce"/>
  </r>
  <r>
    <x v="0"/>
    <x v="11"/>
    <s v="South"/>
    <x v="0"/>
    <x v="0"/>
    <x v="3"/>
    <n v="11236"/>
    <n v="15"/>
    <n v="168540"/>
    <s v="Retail"/>
  </r>
  <r>
    <x v="0"/>
    <x v="11"/>
    <s v="South"/>
    <x v="1"/>
    <x v="1"/>
    <x v="4"/>
    <n v="10388"/>
    <n v="2"/>
    <n v="20776"/>
    <s v="Wholesale"/>
  </r>
  <r>
    <x v="0"/>
    <x v="11"/>
    <s v="South"/>
    <x v="1"/>
    <x v="1"/>
    <x v="5"/>
    <n v="13098"/>
    <n v="2"/>
    <n v="26196"/>
    <s v="Retail"/>
  </r>
  <r>
    <x v="0"/>
    <x v="11"/>
    <s v="South"/>
    <x v="1"/>
    <x v="1"/>
    <x v="6"/>
    <n v="5168"/>
    <n v="5"/>
    <n v="25840"/>
    <s v="E-commerce"/>
  </r>
  <r>
    <x v="0"/>
    <x v="11"/>
    <s v="South"/>
    <x v="1"/>
    <x v="2"/>
    <x v="7"/>
    <n v="12617"/>
    <n v="3"/>
    <n v="37851"/>
    <s v="E-commerce"/>
  </r>
  <r>
    <x v="0"/>
    <x v="12"/>
    <s v="East"/>
    <x v="0"/>
    <x v="0"/>
    <x v="0"/>
    <n v="8628"/>
    <n v="10"/>
    <n v="86280"/>
    <s v="Wholesale"/>
  </r>
  <r>
    <x v="0"/>
    <x v="12"/>
    <s v="East"/>
    <x v="0"/>
    <x v="0"/>
    <x v="1"/>
    <n v="6526"/>
    <n v="20"/>
    <n v="130520"/>
    <s v="E-commerce"/>
  </r>
  <r>
    <x v="0"/>
    <x v="12"/>
    <s v="East"/>
    <x v="0"/>
    <x v="0"/>
    <x v="2"/>
    <n v="13638"/>
    <n v="30"/>
    <n v="409140"/>
    <s v="E-commerce"/>
  </r>
  <r>
    <x v="0"/>
    <x v="12"/>
    <s v="East"/>
    <x v="0"/>
    <x v="0"/>
    <x v="3"/>
    <n v="13041"/>
    <n v="15"/>
    <n v="195615"/>
    <s v="Wholesale"/>
  </r>
  <r>
    <x v="0"/>
    <x v="12"/>
    <s v="East"/>
    <x v="1"/>
    <x v="1"/>
    <x v="4"/>
    <n v="7809"/>
    <n v="2"/>
    <n v="15618"/>
    <s v="E-commerce"/>
  </r>
  <r>
    <x v="0"/>
    <x v="12"/>
    <s v="East"/>
    <x v="1"/>
    <x v="1"/>
    <x v="5"/>
    <n v="6404"/>
    <n v="2"/>
    <n v="12808"/>
    <s v="Wholesale"/>
  </r>
  <r>
    <x v="0"/>
    <x v="12"/>
    <s v="East"/>
    <x v="1"/>
    <x v="1"/>
    <x v="6"/>
    <n v="6305"/>
    <n v="5"/>
    <n v="31525"/>
    <s v="E-commerce"/>
  </r>
  <r>
    <x v="0"/>
    <x v="12"/>
    <s v="East"/>
    <x v="1"/>
    <x v="2"/>
    <x v="7"/>
    <n v="14358"/>
    <n v="3"/>
    <n v="43074"/>
    <s v="Wholesale"/>
  </r>
  <r>
    <x v="0"/>
    <x v="13"/>
    <s v="East"/>
    <x v="0"/>
    <x v="0"/>
    <x v="0"/>
    <n v="14282"/>
    <n v="10"/>
    <n v="142820"/>
    <s v="Wholesale"/>
  </r>
  <r>
    <x v="0"/>
    <x v="13"/>
    <s v="East"/>
    <x v="0"/>
    <x v="0"/>
    <x v="1"/>
    <n v="8088"/>
    <n v="20"/>
    <n v="161760"/>
    <s v="Retail"/>
  </r>
  <r>
    <x v="0"/>
    <x v="13"/>
    <s v="East"/>
    <x v="0"/>
    <x v="0"/>
    <x v="2"/>
    <n v="6766"/>
    <n v="30"/>
    <n v="202980"/>
    <s v="Wholesale"/>
  </r>
  <r>
    <x v="0"/>
    <x v="13"/>
    <s v="East"/>
    <x v="0"/>
    <x v="0"/>
    <x v="3"/>
    <n v="14042"/>
    <n v="15"/>
    <n v="210630"/>
    <s v="Retail"/>
  </r>
  <r>
    <x v="0"/>
    <x v="13"/>
    <s v="East"/>
    <x v="1"/>
    <x v="1"/>
    <x v="4"/>
    <n v="8997"/>
    <n v="2"/>
    <n v="17994"/>
    <s v="Wholesale"/>
  </r>
  <r>
    <x v="0"/>
    <x v="13"/>
    <s v="East"/>
    <x v="1"/>
    <x v="1"/>
    <x v="5"/>
    <n v="9551"/>
    <n v="2"/>
    <n v="19102"/>
    <s v="E-commerce"/>
  </r>
  <r>
    <x v="0"/>
    <x v="13"/>
    <s v="East"/>
    <x v="1"/>
    <x v="1"/>
    <x v="6"/>
    <n v="6663"/>
    <n v="5"/>
    <n v="33315"/>
    <s v="E-commerce"/>
  </r>
  <r>
    <x v="0"/>
    <x v="13"/>
    <s v="East"/>
    <x v="1"/>
    <x v="2"/>
    <x v="7"/>
    <n v="13599"/>
    <n v="3"/>
    <n v="40797"/>
    <s v="Retail"/>
  </r>
  <r>
    <x v="0"/>
    <x v="14"/>
    <s v="East"/>
    <x v="0"/>
    <x v="0"/>
    <x v="0"/>
    <n v="8693"/>
    <n v="10"/>
    <n v="86930"/>
    <s v="Wholesale"/>
  </r>
  <r>
    <x v="0"/>
    <x v="14"/>
    <s v="East"/>
    <x v="0"/>
    <x v="0"/>
    <x v="1"/>
    <n v="11504"/>
    <n v="20"/>
    <n v="230080"/>
    <s v="Retail"/>
  </r>
  <r>
    <x v="0"/>
    <x v="14"/>
    <s v="East"/>
    <x v="0"/>
    <x v="0"/>
    <x v="2"/>
    <n v="11833"/>
    <n v="30"/>
    <n v="354990"/>
    <s v="Wholesale"/>
  </r>
  <r>
    <x v="0"/>
    <x v="14"/>
    <s v="East"/>
    <x v="0"/>
    <x v="0"/>
    <x v="3"/>
    <n v="10041"/>
    <n v="15"/>
    <n v="150615"/>
    <s v="Retail"/>
  </r>
  <r>
    <x v="0"/>
    <x v="14"/>
    <s v="East"/>
    <x v="1"/>
    <x v="1"/>
    <x v="4"/>
    <n v="7477"/>
    <n v="2"/>
    <n v="14954"/>
    <s v="Retail"/>
  </r>
  <r>
    <x v="0"/>
    <x v="14"/>
    <s v="East"/>
    <x v="1"/>
    <x v="1"/>
    <x v="5"/>
    <n v="8149"/>
    <n v="2"/>
    <n v="16298"/>
    <s v="E-commerce"/>
  </r>
  <r>
    <x v="0"/>
    <x v="14"/>
    <s v="East"/>
    <x v="1"/>
    <x v="1"/>
    <x v="6"/>
    <n v="7556"/>
    <n v="5"/>
    <n v="37780"/>
    <s v="E-commerce"/>
  </r>
  <r>
    <x v="0"/>
    <x v="14"/>
    <s v="East"/>
    <x v="1"/>
    <x v="2"/>
    <x v="7"/>
    <n v="7406"/>
    <n v="3"/>
    <n v="22218"/>
    <s v="E-commerce"/>
  </r>
  <r>
    <x v="0"/>
    <x v="15"/>
    <s v="East"/>
    <x v="0"/>
    <x v="0"/>
    <x v="0"/>
    <n v="14205"/>
    <n v="10"/>
    <n v="142050"/>
    <s v="Retail"/>
  </r>
  <r>
    <x v="0"/>
    <x v="15"/>
    <s v="East"/>
    <x v="0"/>
    <x v="0"/>
    <x v="1"/>
    <n v="5007"/>
    <n v="20"/>
    <n v="100140"/>
    <s v="E-commerce"/>
  </r>
  <r>
    <x v="0"/>
    <x v="15"/>
    <s v="East"/>
    <x v="0"/>
    <x v="0"/>
    <x v="2"/>
    <n v="5390"/>
    <n v="30"/>
    <n v="161700"/>
    <s v="Wholesale"/>
  </r>
  <r>
    <x v="0"/>
    <x v="15"/>
    <s v="East"/>
    <x v="0"/>
    <x v="0"/>
    <x v="3"/>
    <n v="8241"/>
    <n v="15"/>
    <n v="123615"/>
    <s v="Retail"/>
  </r>
  <r>
    <x v="0"/>
    <x v="15"/>
    <s v="East"/>
    <x v="1"/>
    <x v="1"/>
    <x v="4"/>
    <n v="9799"/>
    <n v="2"/>
    <n v="19598"/>
    <s v="E-commerce"/>
  </r>
  <r>
    <x v="0"/>
    <x v="15"/>
    <s v="East"/>
    <x v="1"/>
    <x v="1"/>
    <x v="5"/>
    <n v="12840"/>
    <n v="2"/>
    <n v="25680"/>
    <s v="Retail"/>
  </r>
  <r>
    <x v="0"/>
    <x v="15"/>
    <s v="East"/>
    <x v="1"/>
    <x v="1"/>
    <x v="6"/>
    <n v="11021"/>
    <n v="5"/>
    <n v="55105"/>
    <s v="E-commerce"/>
  </r>
  <r>
    <x v="0"/>
    <x v="15"/>
    <s v="East"/>
    <x v="1"/>
    <x v="2"/>
    <x v="7"/>
    <n v="11463"/>
    <n v="3"/>
    <n v="34389"/>
    <s v="E-commerce"/>
  </r>
  <r>
    <x v="0"/>
    <x v="16"/>
    <s v="East"/>
    <x v="0"/>
    <x v="0"/>
    <x v="0"/>
    <n v="14026"/>
    <n v="10"/>
    <n v="140260"/>
    <s v="Wholesale"/>
  </r>
  <r>
    <x v="0"/>
    <x v="16"/>
    <s v="East"/>
    <x v="0"/>
    <x v="0"/>
    <x v="1"/>
    <n v="5266"/>
    <n v="20"/>
    <n v="105320"/>
    <s v="E-commerce"/>
  </r>
  <r>
    <x v="0"/>
    <x v="16"/>
    <s v="East"/>
    <x v="0"/>
    <x v="0"/>
    <x v="2"/>
    <n v="8955"/>
    <n v="30"/>
    <n v="268650"/>
    <s v="Wholesale"/>
  </r>
  <r>
    <x v="0"/>
    <x v="16"/>
    <s v="East"/>
    <x v="0"/>
    <x v="0"/>
    <x v="3"/>
    <n v="6895"/>
    <n v="15"/>
    <n v="103425"/>
    <s v="Wholesale"/>
  </r>
  <r>
    <x v="0"/>
    <x v="16"/>
    <s v="East"/>
    <x v="1"/>
    <x v="1"/>
    <x v="4"/>
    <n v="9826"/>
    <n v="2"/>
    <n v="19652"/>
    <s v="Retail"/>
  </r>
  <r>
    <x v="0"/>
    <x v="16"/>
    <s v="East"/>
    <x v="1"/>
    <x v="1"/>
    <x v="5"/>
    <n v="8429"/>
    <n v="2"/>
    <n v="16858"/>
    <s v="Retail"/>
  </r>
  <r>
    <x v="0"/>
    <x v="16"/>
    <s v="East"/>
    <x v="1"/>
    <x v="1"/>
    <x v="6"/>
    <n v="8831"/>
    <n v="5"/>
    <n v="44155"/>
    <s v="E-commerce"/>
  </r>
  <r>
    <x v="0"/>
    <x v="16"/>
    <s v="East"/>
    <x v="1"/>
    <x v="2"/>
    <x v="7"/>
    <n v="7921"/>
    <n v="3"/>
    <n v="23763"/>
    <s v="E-commerce"/>
  </r>
  <r>
    <x v="0"/>
    <x v="17"/>
    <s v="West"/>
    <x v="0"/>
    <x v="0"/>
    <x v="0"/>
    <n v="13465"/>
    <n v="10"/>
    <n v="134650"/>
    <s v="Wholesale"/>
  </r>
  <r>
    <x v="0"/>
    <x v="17"/>
    <s v="West"/>
    <x v="0"/>
    <x v="0"/>
    <x v="1"/>
    <n v="6763"/>
    <n v="20"/>
    <n v="135260"/>
    <s v="Wholesale"/>
  </r>
  <r>
    <x v="0"/>
    <x v="17"/>
    <s v="West"/>
    <x v="0"/>
    <x v="0"/>
    <x v="2"/>
    <n v="9332"/>
    <n v="30"/>
    <n v="279960"/>
    <s v="E-commerce"/>
  </r>
  <r>
    <x v="0"/>
    <x v="17"/>
    <s v="West"/>
    <x v="0"/>
    <x v="0"/>
    <x v="3"/>
    <n v="6217"/>
    <n v="15"/>
    <n v="93255"/>
    <s v="Wholesale"/>
  </r>
  <r>
    <x v="0"/>
    <x v="17"/>
    <s v="West"/>
    <x v="1"/>
    <x v="1"/>
    <x v="4"/>
    <n v="11908"/>
    <n v="2"/>
    <n v="23816"/>
    <s v="Wholesale"/>
  </r>
  <r>
    <x v="0"/>
    <x v="17"/>
    <s v="West"/>
    <x v="1"/>
    <x v="1"/>
    <x v="5"/>
    <n v="14543"/>
    <n v="2"/>
    <n v="29086"/>
    <s v="Wholesale"/>
  </r>
  <r>
    <x v="0"/>
    <x v="17"/>
    <s v="West"/>
    <x v="1"/>
    <x v="1"/>
    <x v="6"/>
    <n v="6942"/>
    <n v="5"/>
    <n v="34710"/>
    <s v="E-commerce"/>
  </r>
  <r>
    <x v="0"/>
    <x v="17"/>
    <s v="West"/>
    <x v="1"/>
    <x v="2"/>
    <x v="7"/>
    <n v="10571"/>
    <n v="3"/>
    <n v="31713"/>
    <s v="E-commerce"/>
  </r>
  <r>
    <x v="0"/>
    <x v="18"/>
    <s v="West"/>
    <x v="0"/>
    <x v="0"/>
    <x v="0"/>
    <n v="11962"/>
    <n v="10"/>
    <n v="119620"/>
    <s v="Retail"/>
  </r>
  <r>
    <x v="0"/>
    <x v="18"/>
    <s v="West"/>
    <x v="0"/>
    <x v="0"/>
    <x v="1"/>
    <n v="6724"/>
    <n v="20"/>
    <n v="134480"/>
    <s v="Wholesale"/>
  </r>
  <r>
    <x v="0"/>
    <x v="18"/>
    <s v="West"/>
    <x v="0"/>
    <x v="0"/>
    <x v="2"/>
    <n v="6634"/>
    <n v="30"/>
    <n v="199020"/>
    <s v="Retail"/>
  </r>
  <r>
    <x v="0"/>
    <x v="18"/>
    <s v="West"/>
    <x v="0"/>
    <x v="0"/>
    <x v="3"/>
    <n v="14349"/>
    <n v="15"/>
    <n v="215235"/>
    <s v="Retail"/>
  </r>
  <r>
    <x v="0"/>
    <x v="18"/>
    <s v="West"/>
    <x v="1"/>
    <x v="1"/>
    <x v="4"/>
    <n v="14560"/>
    <n v="2"/>
    <n v="29120"/>
    <s v="Wholesale"/>
  </r>
  <r>
    <x v="0"/>
    <x v="18"/>
    <s v="West"/>
    <x v="1"/>
    <x v="1"/>
    <x v="5"/>
    <n v="8046"/>
    <n v="2"/>
    <n v="16092"/>
    <s v="Retail"/>
  </r>
  <r>
    <x v="0"/>
    <x v="18"/>
    <s v="West"/>
    <x v="1"/>
    <x v="1"/>
    <x v="6"/>
    <n v="8303"/>
    <n v="5"/>
    <n v="41515"/>
    <s v="Retail"/>
  </r>
  <r>
    <x v="0"/>
    <x v="18"/>
    <s v="West"/>
    <x v="1"/>
    <x v="2"/>
    <x v="7"/>
    <n v="13311"/>
    <n v="3"/>
    <n v="39933"/>
    <s v="Retail"/>
  </r>
  <r>
    <x v="0"/>
    <x v="19"/>
    <s v="West"/>
    <x v="0"/>
    <x v="0"/>
    <x v="0"/>
    <n v="6787"/>
    <n v="10"/>
    <n v="67870"/>
    <s v="Retail"/>
  </r>
  <r>
    <x v="0"/>
    <x v="19"/>
    <s v="West"/>
    <x v="0"/>
    <x v="0"/>
    <x v="1"/>
    <n v="6083"/>
    <n v="20"/>
    <n v="121660"/>
    <s v="E-commerce"/>
  </r>
  <r>
    <x v="0"/>
    <x v="19"/>
    <s v="West"/>
    <x v="0"/>
    <x v="0"/>
    <x v="2"/>
    <n v="9643"/>
    <n v="30"/>
    <n v="289290"/>
    <s v="Retail"/>
  </r>
  <r>
    <x v="0"/>
    <x v="19"/>
    <s v="West"/>
    <x v="0"/>
    <x v="0"/>
    <x v="3"/>
    <n v="6842"/>
    <n v="15"/>
    <n v="102630"/>
    <s v="Retail"/>
  </r>
  <r>
    <x v="0"/>
    <x v="19"/>
    <s v="West"/>
    <x v="1"/>
    <x v="1"/>
    <x v="4"/>
    <n v="12327"/>
    <n v="2"/>
    <n v="24654"/>
    <s v="Wholesale"/>
  </r>
  <r>
    <x v="0"/>
    <x v="19"/>
    <s v="West"/>
    <x v="1"/>
    <x v="1"/>
    <x v="5"/>
    <n v="8221"/>
    <n v="2"/>
    <n v="16442"/>
    <s v="E-commerce"/>
  </r>
  <r>
    <x v="0"/>
    <x v="19"/>
    <s v="West"/>
    <x v="1"/>
    <x v="1"/>
    <x v="6"/>
    <n v="10195"/>
    <n v="5"/>
    <n v="50975"/>
    <s v="Wholesale"/>
  </r>
  <r>
    <x v="0"/>
    <x v="19"/>
    <s v="West"/>
    <x v="1"/>
    <x v="2"/>
    <x v="7"/>
    <n v="6426"/>
    <n v="3"/>
    <n v="19278"/>
    <s v="Retail"/>
  </r>
  <r>
    <x v="0"/>
    <x v="20"/>
    <s v="West"/>
    <x v="0"/>
    <x v="0"/>
    <x v="0"/>
    <n v="9941"/>
    <n v="10"/>
    <n v="99410"/>
    <s v="Retail"/>
  </r>
  <r>
    <x v="0"/>
    <x v="20"/>
    <s v="West"/>
    <x v="0"/>
    <x v="0"/>
    <x v="1"/>
    <n v="8298"/>
    <n v="20"/>
    <n v="165960"/>
    <s v="E-commerce"/>
  </r>
  <r>
    <x v="0"/>
    <x v="20"/>
    <s v="West"/>
    <x v="0"/>
    <x v="0"/>
    <x v="2"/>
    <n v="13763"/>
    <n v="30"/>
    <n v="412890"/>
    <s v="E-commerce"/>
  </r>
  <r>
    <x v="0"/>
    <x v="20"/>
    <s v="West"/>
    <x v="0"/>
    <x v="0"/>
    <x v="3"/>
    <n v="5920"/>
    <n v="15"/>
    <n v="88800"/>
    <s v="E-commerce"/>
  </r>
  <r>
    <x v="0"/>
    <x v="20"/>
    <s v="West"/>
    <x v="1"/>
    <x v="1"/>
    <x v="4"/>
    <n v="14734"/>
    <n v="2"/>
    <n v="29468"/>
    <s v="Wholesale"/>
  </r>
  <r>
    <x v="0"/>
    <x v="20"/>
    <s v="West"/>
    <x v="1"/>
    <x v="1"/>
    <x v="5"/>
    <n v="11763"/>
    <n v="2"/>
    <n v="23526"/>
    <s v="Retail"/>
  </r>
  <r>
    <x v="0"/>
    <x v="20"/>
    <s v="West"/>
    <x v="1"/>
    <x v="1"/>
    <x v="6"/>
    <n v="11254"/>
    <n v="5"/>
    <n v="56270"/>
    <s v="Retail"/>
  </r>
  <r>
    <x v="0"/>
    <x v="20"/>
    <s v="West"/>
    <x v="1"/>
    <x v="2"/>
    <x v="7"/>
    <n v="10815"/>
    <n v="3"/>
    <n v="32445"/>
    <s v="Wholesale"/>
  </r>
  <r>
    <x v="0"/>
    <x v="21"/>
    <s v="West"/>
    <x v="0"/>
    <x v="0"/>
    <x v="0"/>
    <n v="9091"/>
    <n v="10"/>
    <n v="90910"/>
    <s v="Wholesale"/>
  </r>
  <r>
    <x v="0"/>
    <x v="21"/>
    <s v="West"/>
    <x v="0"/>
    <x v="0"/>
    <x v="1"/>
    <n v="10708"/>
    <n v="20"/>
    <n v="214160"/>
    <s v="E-commerce"/>
  </r>
  <r>
    <x v="0"/>
    <x v="21"/>
    <s v="West"/>
    <x v="0"/>
    <x v="0"/>
    <x v="2"/>
    <n v="12275"/>
    <n v="30"/>
    <n v="368250"/>
    <s v="E-commerce"/>
  </r>
  <r>
    <x v="0"/>
    <x v="21"/>
    <s v="West"/>
    <x v="0"/>
    <x v="0"/>
    <x v="3"/>
    <n v="6790"/>
    <n v="15"/>
    <n v="101850"/>
    <s v="E-commerce"/>
  </r>
  <r>
    <x v="0"/>
    <x v="21"/>
    <s v="West"/>
    <x v="1"/>
    <x v="1"/>
    <x v="4"/>
    <n v="5596"/>
    <n v="2"/>
    <n v="11192"/>
    <s v="E-commerce"/>
  </r>
  <r>
    <x v="0"/>
    <x v="21"/>
    <s v="West"/>
    <x v="1"/>
    <x v="1"/>
    <x v="5"/>
    <n v="11222"/>
    <n v="2"/>
    <n v="22444"/>
    <s v="Wholesale"/>
  </r>
  <r>
    <x v="0"/>
    <x v="21"/>
    <s v="West"/>
    <x v="1"/>
    <x v="1"/>
    <x v="6"/>
    <n v="13295"/>
    <n v="5"/>
    <n v="66475"/>
    <s v="Retail"/>
  </r>
  <r>
    <x v="0"/>
    <x v="21"/>
    <s v="West"/>
    <x v="1"/>
    <x v="2"/>
    <x v="7"/>
    <n v="9910"/>
    <n v="3"/>
    <n v="29730"/>
    <s v="Retail"/>
  </r>
  <r>
    <x v="1"/>
    <x v="0"/>
    <s v="North"/>
    <x v="0"/>
    <x v="0"/>
    <x v="0"/>
    <n v="14117"/>
    <n v="10"/>
    <n v="141170"/>
    <s v="Retail"/>
  </r>
  <r>
    <x v="1"/>
    <x v="0"/>
    <s v="North"/>
    <x v="0"/>
    <x v="0"/>
    <x v="1"/>
    <n v="11401"/>
    <n v="20"/>
    <n v="228020"/>
    <s v="E-commerce"/>
  </r>
  <r>
    <x v="1"/>
    <x v="0"/>
    <s v="North"/>
    <x v="0"/>
    <x v="0"/>
    <x v="2"/>
    <n v="12353"/>
    <n v="30"/>
    <n v="370590"/>
    <s v="Wholesale"/>
  </r>
  <r>
    <x v="1"/>
    <x v="0"/>
    <s v="North"/>
    <x v="0"/>
    <x v="0"/>
    <x v="3"/>
    <n v="8632"/>
    <n v="15"/>
    <n v="129480"/>
    <s v="E-commerce"/>
  </r>
  <r>
    <x v="1"/>
    <x v="0"/>
    <s v="North"/>
    <x v="1"/>
    <x v="1"/>
    <x v="4"/>
    <n v="8416"/>
    <n v="2"/>
    <n v="16832"/>
    <s v="E-commerce"/>
  </r>
  <r>
    <x v="1"/>
    <x v="0"/>
    <s v="North"/>
    <x v="1"/>
    <x v="1"/>
    <x v="5"/>
    <n v="13953"/>
    <n v="2"/>
    <n v="27906"/>
    <s v="Wholesale"/>
  </r>
  <r>
    <x v="1"/>
    <x v="0"/>
    <s v="North"/>
    <x v="1"/>
    <x v="1"/>
    <x v="6"/>
    <n v="12887"/>
    <n v="5"/>
    <n v="64435"/>
    <s v="Retail"/>
  </r>
  <r>
    <x v="1"/>
    <x v="0"/>
    <s v="North"/>
    <x v="1"/>
    <x v="2"/>
    <x v="7"/>
    <n v="9598"/>
    <n v="3"/>
    <n v="28794"/>
    <s v="Retail"/>
  </r>
  <r>
    <x v="1"/>
    <x v="1"/>
    <s v="North"/>
    <x v="0"/>
    <x v="0"/>
    <x v="0"/>
    <n v="8475"/>
    <n v="10"/>
    <n v="84750"/>
    <s v="Wholesale"/>
  </r>
  <r>
    <x v="1"/>
    <x v="1"/>
    <s v="North"/>
    <x v="0"/>
    <x v="0"/>
    <x v="1"/>
    <n v="13077"/>
    <n v="20"/>
    <n v="261540"/>
    <s v="Retail"/>
  </r>
  <r>
    <x v="1"/>
    <x v="1"/>
    <s v="North"/>
    <x v="0"/>
    <x v="0"/>
    <x v="2"/>
    <n v="8034"/>
    <n v="30"/>
    <n v="241020"/>
    <s v="Wholesale"/>
  </r>
  <r>
    <x v="1"/>
    <x v="1"/>
    <s v="North"/>
    <x v="0"/>
    <x v="0"/>
    <x v="3"/>
    <n v="7573"/>
    <n v="15"/>
    <n v="113595"/>
    <s v="Wholesale"/>
  </r>
  <r>
    <x v="1"/>
    <x v="1"/>
    <s v="North"/>
    <x v="1"/>
    <x v="1"/>
    <x v="4"/>
    <n v="12557"/>
    <n v="2"/>
    <n v="25114"/>
    <s v="Retail"/>
  </r>
  <r>
    <x v="1"/>
    <x v="1"/>
    <s v="North"/>
    <x v="1"/>
    <x v="1"/>
    <x v="5"/>
    <n v="7911"/>
    <n v="2"/>
    <n v="15822"/>
    <s v="E-commerce"/>
  </r>
  <r>
    <x v="1"/>
    <x v="1"/>
    <s v="North"/>
    <x v="1"/>
    <x v="1"/>
    <x v="6"/>
    <n v="8824"/>
    <n v="5"/>
    <n v="44120"/>
    <s v="Retail"/>
  </r>
  <r>
    <x v="1"/>
    <x v="1"/>
    <s v="North"/>
    <x v="1"/>
    <x v="2"/>
    <x v="7"/>
    <n v="10578"/>
    <n v="3"/>
    <n v="31734"/>
    <s v="Wholesale"/>
  </r>
  <r>
    <x v="1"/>
    <x v="2"/>
    <s v="North"/>
    <x v="0"/>
    <x v="0"/>
    <x v="0"/>
    <n v="12686"/>
    <n v="10"/>
    <n v="126860"/>
    <s v="E-commerce"/>
  </r>
  <r>
    <x v="1"/>
    <x v="2"/>
    <s v="North"/>
    <x v="0"/>
    <x v="0"/>
    <x v="1"/>
    <n v="10948"/>
    <n v="20"/>
    <n v="218960"/>
    <s v="E-commerce"/>
  </r>
  <r>
    <x v="1"/>
    <x v="2"/>
    <s v="North"/>
    <x v="0"/>
    <x v="0"/>
    <x v="2"/>
    <n v="10756"/>
    <n v="30"/>
    <n v="322680"/>
    <s v="Wholesale"/>
  </r>
  <r>
    <x v="1"/>
    <x v="2"/>
    <s v="North"/>
    <x v="0"/>
    <x v="0"/>
    <x v="3"/>
    <n v="5876"/>
    <n v="15"/>
    <n v="88140"/>
    <s v="E-commerce"/>
  </r>
  <r>
    <x v="1"/>
    <x v="2"/>
    <s v="North"/>
    <x v="1"/>
    <x v="1"/>
    <x v="4"/>
    <n v="11013"/>
    <n v="2"/>
    <n v="22026"/>
    <s v="Wholesale"/>
  </r>
  <r>
    <x v="1"/>
    <x v="2"/>
    <s v="North"/>
    <x v="1"/>
    <x v="1"/>
    <x v="5"/>
    <n v="10496"/>
    <n v="2"/>
    <n v="20992"/>
    <s v="Wholesale"/>
  </r>
  <r>
    <x v="1"/>
    <x v="2"/>
    <s v="North"/>
    <x v="1"/>
    <x v="1"/>
    <x v="6"/>
    <n v="12974"/>
    <n v="5"/>
    <n v="64870"/>
    <s v="E-commerce"/>
  </r>
  <r>
    <x v="1"/>
    <x v="2"/>
    <s v="North"/>
    <x v="1"/>
    <x v="2"/>
    <x v="7"/>
    <n v="6189"/>
    <n v="3"/>
    <n v="18567"/>
    <s v="Wholesale"/>
  </r>
  <r>
    <x v="1"/>
    <x v="3"/>
    <s v="North"/>
    <x v="0"/>
    <x v="0"/>
    <x v="0"/>
    <n v="14637"/>
    <n v="10"/>
    <n v="146370"/>
    <s v="Wholesale"/>
  </r>
  <r>
    <x v="1"/>
    <x v="3"/>
    <s v="North"/>
    <x v="0"/>
    <x v="0"/>
    <x v="1"/>
    <n v="5178"/>
    <n v="20"/>
    <n v="103560"/>
    <s v="Retail"/>
  </r>
  <r>
    <x v="1"/>
    <x v="3"/>
    <s v="North"/>
    <x v="0"/>
    <x v="0"/>
    <x v="2"/>
    <n v="9888"/>
    <n v="30"/>
    <n v="296640"/>
    <s v="Retail"/>
  </r>
  <r>
    <x v="1"/>
    <x v="3"/>
    <s v="North"/>
    <x v="0"/>
    <x v="0"/>
    <x v="3"/>
    <n v="7939"/>
    <n v="15"/>
    <n v="119085"/>
    <s v="Retail"/>
  </r>
  <r>
    <x v="1"/>
    <x v="3"/>
    <s v="North"/>
    <x v="1"/>
    <x v="1"/>
    <x v="4"/>
    <n v="12997"/>
    <n v="2"/>
    <n v="25994"/>
    <s v="E-commerce"/>
  </r>
  <r>
    <x v="1"/>
    <x v="3"/>
    <s v="North"/>
    <x v="1"/>
    <x v="1"/>
    <x v="5"/>
    <n v="5598"/>
    <n v="2"/>
    <n v="11196"/>
    <s v="Retail"/>
  </r>
  <r>
    <x v="1"/>
    <x v="3"/>
    <s v="North"/>
    <x v="1"/>
    <x v="1"/>
    <x v="6"/>
    <n v="11114"/>
    <n v="5"/>
    <n v="55570"/>
    <s v="E-commerce"/>
  </r>
  <r>
    <x v="1"/>
    <x v="3"/>
    <s v="North"/>
    <x v="1"/>
    <x v="2"/>
    <x v="7"/>
    <n v="13925"/>
    <n v="3"/>
    <n v="41775"/>
    <s v="E-commerce"/>
  </r>
  <r>
    <x v="1"/>
    <x v="4"/>
    <s v="North"/>
    <x v="0"/>
    <x v="0"/>
    <x v="0"/>
    <n v="8870"/>
    <n v="10"/>
    <n v="88700"/>
    <s v="Wholesale"/>
  </r>
  <r>
    <x v="1"/>
    <x v="4"/>
    <s v="North"/>
    <x v="0"/>
    <x v="0"/>
    <x v="1"/>
    <n v="12191"/>
    <n v="20"/>
    <n v="243820"/>
    <s v="E-commerce"/>
  </r>
  <r>
    <x v="1"/>
    <x v="4"/>
    <s v="North"/>
    <x v="0"/>
    <x v="0"/>
    <x v="2"/>
    <n v="12455"/>
    <n v="30"/>
    <n v="373650"/>
    <s v="Retail"/>
  </r>
  <r>
    <x v="1"/>
    <x v="4"/>
    <s v="North"/>
    <x v="0"/>
    <x v="0"/>
    <x v="3"/>
    <n v="8229"/>
    <n v="15"/>
    <n v="123435"/>
    <s v="Wholesale"/>
  </r>
  <r>
    <x v="1"/>
    <x v="4"/>
    <s v="North"/>
    <x v="1"/>
    <x v="1"/>
    <x v="4"/>
    <n v="13205"/>
    <n v="2"/>
    <n v="26410"/>
    <s v="Wholesale"/>
  </r>
  <r>
    <x v="1"/>
    <x v="4"/>
    <s v="North"/>
    <x v="1"/>
    <x v="1"/>
    <x v="5"/>
    <n v="11433"/>
    <n v="2"/>
    <n v="22866"/>
    <s v="E-commerce"/>
  </r>
  <r>
    <x v="1"/>
    <x v="4"/>
    <s v="North"/>
    <x v="1"/>
    <x v="1"/>
    <x v="6"/>
    <n v="14337"/>
    <n v="5"/>
    <n v="71685"/>
    <s v="Wholesale"/>
  </r>
  <r>
    <x v="1"/>
    <x v="4"/>
    <s v="North"/>
    <x v="1"/>
    <x v="2"/>
    <x v="7"/>
    <n v="14782"/>
    <n v="3"/>
    <n v="44346"/>
    <s v="Retail"/>
  </r>
  <r>
    <x v="1"/>
    <x v="5"/>
    <s v="North"/>
    <x v="0"/>
    <x v="0"/>
    <x v="0"/>
    <n v="12741"/>
    <n v="10"/>
    <n v="127410"/>
    <s v="E-commerce"/>
  </r>
  <r>
    <x v="1"/>
    <x v="5"/>
    <s v="North"/>
    <x v="0"/>
    <x v="0"/>
    <x v="1"/>
    <n v="11844"/>
    <n v="20"/>
    <n v="236880"/>
    <s v="E-commerce"/>
  </r>
  <r>
    <x v="1"/>
    <x v="5"/>
    <s v="North"/>
    <x v="0"/>
    <x v="0"/>
    <x v="2"/>
    <n v="12338"/>
    <n v="30"/>
    <n v="370140"/>
    <s v="Retail"/>
  </r>
  <r>
    <x v="1"/>
    <x v="5"/>
    <s v="North"/>
    <x v="0"/>
    <x v="0"/>
    <x v="3"/>
    <n v="11833"/>
    <n v="15"/>
    <n v="177495"/>
    <s v="Wholesale"/>
  </r>
  <r>
    <x v="1"/>
    <x v="5"/>
    <s v="North"/>
    <x v="1"/>
    <x v="1"/>
    <x v="4"/>
    <n v="13133"/>
    <n v="2"/>
    <n v="26266"/>
    <s v="E-commerce"/>
  </r>
  <r>
    <x v="1"/>
    <x v="5"/>
    <s v="North"/>
    <x v="1"/>
    <x v="1"/>
    <x v="5"/>
    <n v="6299"/>
    <n v="2"/>
    <n v="12598"/>
    <s v="E-commerce"/>
  </r>
  <r>
    <x v="1"/>
    <x v="5"/>
    <s v="North"/>
    <x v="1"/>
    <x v="1"/>
    <x v="6"/>
    <n v="10829"/>
    <n v="5"/>
    <n v="54145"/>
    <s v="Wholesale"/>
  </r>
  <r>
    <x v="1"/>
    <x v="5"/>
    <s v="North"/>
    <x v="1"/>
    <x v="2"/>
    <x v="7"/>
    <n v="13233"/>
    <n v="3"/>
    <n v="39699"/>
    <s v="Wholesale"/>
  </r>
  <r>
    <x v="1"/>
    <x v="6"/>
    <s v="North"/>
    <x v="0"/>
    <x v="0"/>
    <x v="0"/>
    <n v="12142"/>
    <n v="10"/>
    <n v="121420"/>
    <s v="Wholesale"/>
  </r>
  <r>
    <x v="1"/>
    <x v="6"/>
    <s v="North"/>
    <x v="0"/>
    <x v="0"/>
    <x v="1"/>
    <n v="8475"/>
    <n v="20"/>
    <n v="169500"/>
    <s v="Retail"/>
  </r>
  <r>
    <x v="1"/>
    <x v="6"/>
    <s v="North"/>
    <x v="0"/>
    <x v="0"/>
    <x v="2"/>
    <n v="5173"/>
    <n v="30"/>
    <n v="155190"/>
    <s v="E-commerce"/>
  </r>
  <r>
    <x v="1"/>
    <x v="6"/>
    <s v="North"/>
    <x v="0"/>
    <x v="0"/>
    <x v="3"/>
    <n v="13609"/>
    <n v="15"/>
    <n v="204135"/>
    <s v="Wholesale"/>
  </r>
  <r>
    <x v="1"/>
    <x v="6"/>
    <s v="North"/>
    <x v="1"/>
    <x v="1"/>
    <x v="4"/>
    <n v="13681"/>
    <n v="2"/>
    <n v="27362"/>
    <s v="E-commerce"/>
  </r>
  <r>
    <x v="1"/>
    <x v="6"/>
    <s v="North"/>
    <x v="1"/>
    <x v="1"/>
    <x v="5"/>
    <n v="6894"/>
    <n v="2"/>
    <n v="13788"/>
    <s v="E-commerce"/>
  </r>
  <r>
    <x v="1"/>
    <x v="6"/>
    <s v="North"/>
    <x v="1"/>
    <x v="1"/>
    <x v="6"/>
    <n v="12062"/>
    <n v="5"/>
    <n v="60310"/>
    <s v="Wholesale"/>
  </r>
  <r>
    <x v="1"/>
    <x v="6"/>
    <s v="North"/>
    <x v="1"/>
    <x v="2"/>
    <x v="7"/>
    <n v="6420"/>
    <n v="3"/>
    <n v="19260"/>
    <s v="Retail"/>
  </r>
  <r>
    <x v="1"/>
    <x v="7"/>
    <s v="South"/>
    <x v="0"/>
    <x v="0"/>
    <x v="0"/>
    <n v="5223"/>
    <n v="10"/>
    <n v="52230"/>
    <s v="Retail"/>
  </r>
  <r>
    <x v="1"/>
    <x v="7"/>
    <s v="South"/>
    <x v="0"/>
    <x v="0"/>
    <x v="1"/>
    <n v="8247"/>
    <n v="20"/>
    <n v="164940"/>
    <s v="Wholesale"/>
  </r>
  <r>
    <x v="1"/>
    <x v="7"/>
    <s v="South"/>
    <x v="0"/>
    <x v="0"/>
    <x v="2"/>
    <n v="6362"/>
    <n v="30"/>
    <n v="190860"/>
    <s v="E-commerce"/>
  </r>
  <r>
    <x v="1"/>
    <x v="7"/>
    <s v="South"/>
    <x v="0"/>
    <x v="0"/>
    <x v="3"/>
    <n v="10685"/>
    <n v="15"/>
    <n v="160275"/>
    <s v="E-commerce"/>
  </r>
  <r>
    <x v="1"/>
    <x v="7"/>
    <s v="South"/>
    <x v="1"/>
    <x v="1"/>
    <x v="4"/>
    <n v="6540"/>
    <n v="2"/>
    <n v="13080"/>
    <s v="Retail"/>
  </r>
  <r>
    <x v="1"/>
    <x v="7"/>
    <s v="South"/>
    <x v="1"/>
    <x v="1"/>
    <x v="5"/>
    <n v="13600"/>
    <n v="2"/>
    <n v="27200"/>
    <s v="Wholesale"/>
  </r>
  <r>
    <x v="1"/>
    <x v="7"/>
    <s v="South"/>
    <x v="1"/>
    <x v="1"/>
    <x v="6"/>
    <n v="10270"/>
    <n v="5"/>
    <n v="51350"/>
    <s v="Wholesale"/>
  </r>
  <r>
    <x v="1"/>
    <x v="7"/>
    <s v="South"/>
    <x v="1"/>
    <x v="2"/>
    <x v="7"/>
    <n v="7916"/>
    <n v="3"/>
    <n v="23748"/>
    <s v="Wholesale"/>
  </r>
  <r>
    <x v="1"/>
    <x v="8"/>
    <s v="South"/>
    <x v="0"/>
    <x v="0"/>
    <x v="0"/>
    <n v="8485"/>
    <n v="10"/>
    <n v="84850"/>
    <s v="E-commerce"/>
  </r>
  <r>
    <x v="1"/>
    <x v="8"/>
    <s v="South"/>
    <x v="0"/>
    <x v="0"/>
    <x v="1"/>
    <n v="11629"/>
    <n v="20"/>
    <n v="232580"/>
    <s v="Retail"/>
  </r>
  <r>
    <x v="1"/>
    <x v="8"/>
    <s v="South"/>
    <x v="0"/>
    <x v="0"/>
    <x v="2"/>
    <n v="5706"/>
    <n v="30"/>
    <n v="171180"/>
    <s v="E-commerce"/>
  </r>
  <r>
    <x v="1"/>
    <x v="8"/>
    <s v="South"/>
    <x v="0"/>
    <x v="0"/>
    <x v="3"/>
    <n v="13264"/>
    <n v="15"/>
    <n v="198960"/>
    <s v="E-commerce"/>
  </r>
  <r>
    <x v="1"/>
    <x v="8"/>
    <s v="South"/>
    <x v="1"/>
    <x v="1"/>
    <x v="4"/>
    <n v="12938"/>
    <n v="2"/>
    <n v="25876"/>
    <s v="Retail"/>
  </r>
  <r>
    <x v="1"/>
    <x v="8"/>
    <s v="South"/>
    <x v="1"/>
    <x v="1"/>
    <x v="5"/>
    <n v="7757"/>
    <n v="2"/>
    <n v="15514"/>
    <s v="E-commerce"/>
  </r>
  <r>
    <x v="1"/>
    <x v="8"/>
    <s v="South"/>
    <x v="1"/>
    <x v="1"/>
    <x v="6"/>
    <n v="14903"/>
    <n v="5"/>
    <n v="74515"/>
    <s v="E-commerce"/>
  </r>
  <r>
    <x v="1"/>
    <x v="8"/>
    <s v="South"/>
    <x v="1"/>
    <x v="2"/>
    <x v="7"/>
    <n v="6545"/>
    <n v="3"/>
    <n v="19635"/>
    <s v="Wholesale"/>
  </r>
  <r>
    <x v="1"/>
    <x v="9"/>
    <s v="South"/>
    <x v="0"/>
    <x v="0"/>
    <x v="0"/>
    <n v="14795"/>
    <n v="10"/>
    <n v="147950"/>
    <s v="Wholesale"/>
  </r>
  <r>
    <x v="1"/>
    <x v="9"/>
    <s v="South"/>
    <x v="0"/>
    <x v="0"/>
    <x v="1"/>
    <n v="9604"/>
    <n v="20"/>
    <n v="192080"/>
    <s v="Wholesale"/>
  </r>
  <r>
    <x v="1"/>
    <x v="9"/>
    <s v="South"/>
    <x v="0"/>
    <x v="0"/>
    <x v="2"/>
    <n v="9255"/>
    <n v="30"/>
    <n v="277650"/>
    <s v="E-commerce"/>
  </r>
  <r>
    <x v="1"/>
    <x v="9"/>
    <s v="South"/>
    <x v="0"/>
    <x v="0"/>
    <x v="3"/>
    <n v="13332"/>
    <n v="15"/>
    <n v="199980"/>
    <s v="Wholesale"/>
  </r>
  <r>
    <x v="1"/>
    <x v="9"/>
    <s v="South"/>
    <x v="1"/>
    <x v="1"/>
    <x v="4"/>
    <n v="11441"/>
    <n v="2"/>
    <n v="22882"/>
    <s v="Retail"/>
  </r>
  <r>
    <x v="1"/>
    <x v="9"/>
    <s v="South"/>
    <x v="1"/>
    <x v="1"/>
    <x v="5"/>
    <n v="12278"/>
    <n v="2"/>
    <n v="24556"/>
    <s v="Wholesale"/>
  </r>
  <r>
    <x v="1"/>
    <x v="9"/>
    <s v="South"/>
    <x v="1"/>
    <x v="1"/>
    <x v="6"/>
    <n v="14112"/>
    <n v="5"/>
    <n v="70560"/>
    <s v="Retail"/>
  </r>
  <r>
    <x v="1"/>
    <x v="9"/>
    <s v="South"/>
    <x v="1"/>
    <x v="2"/>
    <x v="7"/>
    <n v="12886"/>
    <n v="3"/>
    <n v="38658"/>
    <s v="Wholesale"/>
  </r>
  <r>
    <x v="1"/>
    <x v="10"/>
    <s v="South"/>
    <x v="0"/>
    <x v="0"/>
    <x v="0"/>
    <n v="14813"/>
    <n v="10"/>
    <n v="148130"/>
    <s v="Wholesale"/>
  </r>
  <r>
    <x v="1"/>
    <x v="10"/>
    <s v="South"/>
    <x v="0"/>
    <x v="0"/>
    <x v="1"/>
    <n v="14071"/>
    <n v="20"/>
    <n v="281420"/>
    <s v="Wholesale"/>
  </r>
  <r>
    <x v="1"/>
    <x v="10"/>
    <s v="South"/>
    <x v="0"/>
    <x v="0"/>
    <x v="2"/>
    <n v="11021"/>
    <n v="30"/>
    <n v="330630"/>
    <s v="Retail"/>
  </r>
  <r>
    <x v="1"/>
    <x v="10"/>
    <s v="South"/>
    <x v="0"/>
    <x v="0"/>
    <x v="3"/>
    <n v="9717"/>
    <n v="15"/>
    <n v="145755"/>
    <s v="E-commerce"/>
  </r>
  <r>
    <x v="1"/>
    <x v="10"/>
    <s v="South"/>
    <x v="1"/>
    <x v="1"/>
    <x v="4"/>
    <n v="8105"/>
    <n v="2"/>
    <n v="16210"/>
    <s v="E-commerce"/>
  </r>
  <r>
    <x v="1"/>
    <x v="10"/>
    <s v="South"/>
    <x v="1"/>
    <x v="1"/>
    <x v="5"/>
    <n v="9057"/>
    <n v="2"/>
    <n v="18114"/>
    <s v="Wholesale"/>
  </r>
  <r>
    <x v="1"/>
    <x v="10"/>
    <s v="South"/>
    <x v="1"/>
    <x v="1"/>
    <x v="6"/>
    <n v="9586"/>
    <n v="5"/>
    <n v="47930"/>
    <s v="Retail"/>
  </r>
  <r>
    <x v="1"/>
    <x v="10"/>
    <s v="South"/>
    <x v="1"/>
    <x v="2"/>
    <x v="7"/>
    <n v="11811"/>
    <n v="3"/>
    <n v="35433"/>
    <s v="E-commerce"/>
  </r>
  <r>
    <x v="1"/>
    <x v="11"/>
    <s v="South"/>
    <x v="0"/>
    <x v="0"/>
    <x v="0"/>
    <n v="9011"/>
    <n v="10"/>
    <n v="90110"/>
    <s v="Wholesale"/>
  </r>
  <r>
    <x v="1"/>
    <x v="11"/>
    <s v="South"/>
    <x v="0"/>
    <x v="0"/>
    <x v="1"/>
    <n v="10365"/>
    <n v="20"/>
    <n v="207300"/>
    <s v="Retail"/>
  </r>
  <r>
    <x v="1"/>
    <x v="11"/>
    <s v="South"/>
    <x v="0"/>
    <x v="0"/>
    <x v="2"/>
    <n v="14956"/>
    <n v="30"/>
    <n v="448680"/>
    <s v="E-commerce"/>
  </r>
  <r>
    <x v="1"/>
    <x v="11"/>
    <s v="South"/>
    <x v="0"/>
    <x v="0"/>
    <x v="3"/>
    <n v="8359"/>
    <n v="15"/>
    <n v="125385"/>
    <s v="E-commerce"/>
  </r>
  <r>
    <x v="1"/>
    <x v="11"/>
    <s v="South"/>
    <x v="1"/>
    <x v="1"/>
    <x v="4"/>
    <n v="8196"/>
    <n v="2"/>
    <n v="16392"/>
    <s v="Wholesale"/>
  </r>
  <r>
    <x v="1"/>
    <x v="11"/>
    <s v="South"/>
    <x v="1"/>
    <x v="1"/>
    <x v="5"/>
    <n v="8916"/>
    <n v="2"/>
    <n v="17832"/>
    <s v="Retail"/>
  </r>
  <r>
    <x v="1"/>
    <x v="11"/>
    <s v="South"/>
    <x v="1"/>
    <x v="1"/>
    <x v="6"/>
    <n v="8708"/>
    <n v="5"/>
    <n v="43540"/>
    <s v="E-commerce"/>
  </r>
  <r>
    <x v="1"/>
    <x v="11"/>
    <s v="South"/>
    <x v="1"/>
    <x v="2"/>
    <x v="7"/>
    <n v="6737"/>
    <n v="3"/>
    <n v="20211"/>
    <s v="E-commerce"/>
  </r>
  <r>
    <x v="1"/>
    <x v="12"/>
    <s v="East"/>
    <x v="0"/>
    <x v="0"/>
    <x v="0"/>
    <n v="11267"/>
    <n v="10"/>
    <n v="112670"/>
    <s v="E-commerce"/>
  </r>
  <r>
    <x v="1"/>
    <x v="12"/>
    <s v="East"/>
    <x v="0"/>
    <x v="0"/>
    <x v="1"/>
    <n v="9174"/>
    <n v="20"/>
    <n v="183480"/>
    <s v="Retail"/>
  </r>
  <r>
    <x v="1"/>
    <x v="12"/>
    <s v="East"/>
    <x v="0"/>
    <x v="0"/>
    <x v="2"/>
    <n v="12660"/>
    <n v="30"/>
    <n v="379800"/>
    <s v="E-commerce"/>
  </r>
  <r>
    <x v="1"/>
    <x v="12"/>
    <s v="East"/>
    <x v="0"/>
    <x v="0"/>
    <x v="3"/>
    <n v="7310"/>
    <n v="15"/>
    <n v="109650"/>
    <s v="Wholesale"/>
  </r>
  <r>
    <x v="1"/>
    <x v="12"/>
    <s v="East"/>
    <x v="1"/>
    <x v="1"/>
    <x v="4"/>
    <n v="14539"/>
    <n v="2"/>
    <n v="29078"/>
    <s v="Retail"/>
  </r>
  <r>
    <x v="1"/>
    <x v="12"/>
    <s v="East"/>
    <x v="1"/>
    <x v="1"/>
    <x v="5"/>
    <n v="13635"/>
    <n v="2"/>
    <n v="27270"/>
    <s v="Retail"/>
  </r>
  <r>
    <x v="1"/>
    <x v="12"/>
    <s v="East"/>
    <x v="1"/>
    <x v="1"/>
    <x v="6"/>
    <n v="14847"/>
    <n v="5"/>
    <n v="74235"/>
    <s v="Retail"/>
  </r>
  <r>
    <x v="1"/>
    <x v="12"/>
    <s v="East"/>
    <x v="1"/>
    <x v="2"/>
    <x v="7"/>
    <n v="7235"/>
    <n v="3"/>
    <n v="21705"/>
    <s v="Retail"/>
  </r>
  <r>
    <x v="1"/>
    <x v="13"/>
    <s v="East"/>
    <x v="0"/>
    <x v="0"/>
    <x v="0"/>
    <n v="11371"/>
    <n v="10"/>
    <n v="113710"/>
    <s v="Wholesale"/>
  </r>
  <r>
    <x v="1"/>
    <x v="13"/>
    <s v="East"/>
    <x v="0"/>
    <x v="0"/>
    <x v="1"/>
    <n v="11219"/>
    <n v="20"/>
    <n v="224380"/>
    <s v="Retail"/>
  </r>
  <r>
    <x v="1"/>
    <x v="13"/>
    <s v="East"/>
    <x v="0"/>
    <x v="0"/>
    <x v="2"/>
    <n v="6577"/>
    <n v="30"/>
    <n v="197310"/>
    <s v="E-commerce"/>
  </r>
  <r>
    <x v="1"/>
    <x v="13"/>
    <s v="East"/>
    <x v="0"/>
    <x v="0"/>
    <x v="3"/>
    <n v="14788"/>
    <n v="15"/>
    <n v="221820"/>
    <s v="E-commerce"/>
  </r>
  <r>
    <x v="1"/>
    <x v="13"/>
    <s v="East"/>
    <x v="1"/>
    <x v="1"/>
    <x v="4"/>
    <n v="12398"/>
    <n v="2"/>
    <n v="24796"/>
    <s v="Retail"/>
  </r>
  <r>
    <x v="1"/>
    <x v="13"/>
    <s v="East"/>
    <x v="1"/>
    <x v="1"/>
    <x v="5"/>
    <n v="10867"/>
    <n v="2"/>
    <n v="21734"/>
    <s v="Retail"/>
  </r>
  <r>
    <x v="1"/>
    <x v="13"/>
    <s v="East"/>
    <x v="1"/>
    <x v="1"/>
    <x v="6"/>
    <n v="5547"/>
    <n v="5"/>
    <n v="27735"/>
    <s v="Wholesale"/>
  </r>
  <r>
    <x v="1"/>
    <x v="13"/>
    <s v="East"/>
    <x v="1"/>
    <x v="2"/>
    <x v="7"/>
    <n v="5651"/>
    <n v="3"/>
    <n v="16953"/>
    <s v="E-commerce"/>
  </r>
  <r>
    <x v="1"/>
    <x v="14"/>
    <s v="East"/>
    <x v="0"/>
    <x v="0"/>
    <x v="0"/>
    <n v="7478"/>
    <n v="10"/>
    <n v="74780"/>
    <s v="Retail"/>
  </r>
  <r>
    <x v="1"/>
    <x v="14"/>
    <s v="East"/>
    <x v="0"/>
    <x v="0"/>
    <x v="1"/>
    <n v="13651"/>
    <n v="20"/>
    <n v="273020"/>
    <s v="E-commerce"/>
  </r>
  <r>
    <x v="1"/>
    <x v="14"/>
    <s v="East"/>
    <x v="0"/>
    <x v="0"/>
    <x v="2"/>
    <n v="12681"/>
    <n v="30"/>
    <n v="380430"/>
    <s v="E-commerce"/>
  </r>
  <r>
    <x v="1"/>
    <x v="14"/>
    <s v="East"/>
    <x v="0"/>
    <x v="0"/>
    <x v="3"/>
    <n v="10210"/>
    <n v="15"/>
    <n v="153150"/>
    <s v="Retail"/>
  </r>
  <r>
    <x v="1"/>
    <x v="14"/>
    <s v="East"/>
    <x v="1"/>
    <x v="1"/>
    <x v="4"/>
    <n v="13240"/>
    <n v="2"/>
    <n v="26480"/>
    <s v="E-commerce"/>
  </r>
  <r>
    <x v="1"/>
    <x v="14"/>
    <s v="East"/>
    <x v="1"/>
    <x v="1"/>
    <x v="5"/>
    <n v="12515"/>
    <n v="2"/>
    <n v="25030"/>
    <s v="Retail"/>
  </r>
  <r>
    <x v="1"/>
    <x v="14"/>
    <s v="East"/>
    <x v="1"/>
    <x v="1"/>
    <x v="6"/>
    <n v="14845"/>
    <n v="5"/>
    <n v="74225"/>
    <s v="Retail"/>
  </r>
  <r>
    <x v="1"/>
    <x v="14"/>
    <s v="East"/>
    <x v="1"/>
    <x v="2"/>
    <x v="7"/>
    <n v="14987"/>
    <n v="3"/>
    <n v="44961"/>
    <s v="E-commerce"/>
  </r>
  <r>
    <x v="1"/>
    <x v="15"/>
    <s v="East"/>
    <x v="0"/>
    <x v="0"/>
    <x v="0"/>
    <n v="13566"/>
    <n v="10"/>
    <n v="135660"/>
    <s v="Retail"/>
  </r>
  <r>
    <x v="1"/>
    <x v="15"/>
    <s v="East"/>
    <x v="0"/>
    <x v="0"/>
    <x v="1"/>
    <n v="13272"/>
    <n v="20"/>
    <n v="265440"/>
    <s v="Retail"/>
  </r>
  <r>
    <x v="1"/>
    <x v="15"/>
    <s v="East"/>
    <x v="0"/>
    <x v="0"/>
    <x v="2"/>
    <n v="5589"/>
    <n v="30"/>
    <n v="167670"/>
    <s v="E-commerce"/>
  </r>
  <r>
    <x v="1"/>
    <x v="15"/>
    <s v="East"/>
    <x v="0"/>
    <x v="0"/>
    <x v="3"/>
    <n v="5028"/>
    <n v="15"/>
    <n v="75420"/>
    <s v="E-commerce"/>
  </r>
  <r>
    <x v="1"/>
    <x v="15"/>
    <s v="East"/>
    <x v="1"/>
    <x v="1"/>
    <x v="4"/>
    <n v="12453"/>
    <n v="2"/>
    <n v="24906"/>
    <s v="E-commerce"/>
  </r>
  <r>
    <x v="1"/>
    <x v="15"/>
    <s v="East"/>
    <x v="1"/>
    <x v="1"/>
    <x v="5"/>
    <n v="7543"/>
    <n v="2"/>
    <n v="15086"/>
    <s v="Retail"/>
  </r>
  <r>
    <x v="1"/>
    <x v="15"/>
    <s v="East"/>
    <x v="1"/>
    <x v="1"/>
    <x v="6"/>
    <n v="13735"/>
    <n v="5"/>
    <n v="68675"/>
    <s v="Wholesale"/>
  </r>
  <r>
    <x v="1"/>
    <x v="15"/>
    <s v="East"/>
    <x v="1"/>
    <x v="2"/>
    <x v="7"/>
    <n v="13423"/>
    <n v="3"/>
    <n v="40269"/>
    <s v="E-commerce"/>
  </r>
  <r>
    <x v="1"/>
    <x v="16"/>
    <s v="East"/>
    <x v="0"/>
    <x v="0"/>
    <x v="0"/>
    <n v="7174"/>
    <n v="10"/>
    <n v="71740"/>
    <s v="Wholesale"/>
  </r>
  <r>
    <x v="1"/>
    <x v="16"/>
    <s v="East"/>
    <x v="0"/>
    <x v="0"/>
    <x v="1"/>
    <n v="7787"/>
    <n v="20"/>
    <n v="155740"/>
    <s v="E-commerce"/>
  </r>
  <r>
    <x v="1"/>
    <x v="16"/>
    <s v="East"/>
    <x v="0"/>
    <x v="0"/>
    <x v="2"/>
    <n v="8373"/>
    <n v="30"/>
    <n v="251190"/>
    <s v="E-commerce"/>
  </r>
  <r>
    <x v="1"/>
    <x v="16"/>
    <s v="East"/>
    <x v="0"/>
    <x v="0"/>
    <x v="3"/>
    <n v="11171"/>
    <n v="15"/>
    <n v="167565"/>
    <s v="Wholesale"/>
  </r>
  <r>
    <x v="1"/>
    <x v="16"/>
    <s v="East"/>
    <x v="1"/>
    <x v="1"/>
    <x v="4"/>
    <n v="12715"/>
    <n v="2"/>
    <n v="25430"/>
    <s v="E-commerce"/>
  </r>
  <r>
    <x v="1"/>
    <x v="16"/>
    <s v="East"/>
    <x v="1"/>
    <x v="1"/>
    <x v="5"/>
    <n v="8371"/>
    <n v="2"/>
    <n v="16742"/>
    <s v="E-commerce"/>
  </r>
  <r>
    <x v="1"/>
    <x v="16"/>
    <s v="East"/>
    <x v="1"/>
    <x v="1"/>
    <x v="6"/>
    <n v="6424"/>
    <n v="5"/>
    <n v="32120"/>
    <s v="Retail"/>
  </r>
  <r>
    <x v="1"/>
    <x v="16"/>
    <s v="East"/>
    <x v="1"/>
    <x v="2"/>
    <x v="7"/>
    <n v="12361"/>
    <n v="3"/>
    <n v="37083"/>
    <s v="E-commerce"/>
  </r>
  <r>
    <x v="1"/>
    <x v="17"/>
    <s v="West"/>
    <x v="0"/>
    <x v="0"/>
    <x v="0"/>
    <n v="8216"/>
    <n v="10"/>
    <n v="82160"/>
    <s v="Retail"/>
  </r>
  <r>
    <x v="1"/>
    <x v="17"/>
    <s v="West"/>
    <x v="0"/>
    <x v="0"/>
    <x v="1"/>
    <n v="12681"/>
    <n v="20"/>
    <n v="253620"/>
    <s v="Retail"/>
  </r>
  <r>
    <x v="1"/>
    <x v="17"/>
    <s v="West"/>
    <x v="0"/>
    <x v="0"/>
    <x v="2"/>
    <n v="13530"/>
    <n v="30"/>
    <n v="405900"/>
    <s v="Wholesale"/>
  </r>
  <r>
    <x v="1"/>
    <x v="17"/>
    <s v="West"/>
    <x v="0"/>
    <x v="0"/>
    <x v="3"/>
    <n v="7920"/>
    <n v="15"/>
    <n v="118800"/>
    <s v="E-commerce"/>
  </r>
  <r>
    <x v="1"/>
    <x v="17"/>
    <s v="West"/>
    <x v="1"/>
    <x v="1"/>
    <x v="4"/>
    <n v="6833"/>
    <n v="2"/>
    <n v="13666"/>
    <s v="E-commerce"/>
  </r>
  <r>
    <x v="1"/>
    <x v="17"/>
    <s v="West"/>
    <x v="1"/>
    <x v="1"/>
    <x v="5"/>
    <n v="7107"/>
    <n v="2"/>
    <n v="14214"/>
    <s v="Wholesale"/>
  </r>
  <r>
    <x v="1"/>
    <x v="17"/>
    <s v="West"/>
    <x v="1"/>
    <x v="1"/>
    <x v="6"/>
    <n v="9368"/>
    <n v="5"/>
    <n v="46840"/>
    <s v="E-commerce"/>
  </r>
  <r>
    <x v="1"/>
    <x v="17"/>
    <s v="West"/>
    <x v="1"/>
    <x v="2"/>
    <x v="7"/>
    <n v="8442"/>
    <n v="3"/>
    <n v="25326"/>
    <s v="E-commerce"/>
  </r>
  <r>
    <x v="1"/>
    <x v="18"/>
    <s v="West"/>
    <x v="0"/>
    <x v="0"/>
    <x v="0"/>
    <n v="6230"/>
    <n v="10"/>
    <n v="62300"/>
    <s v="Retail"/>
  </r>
  <r>
    <x v="1"/>
    <x v="18"/>
    <s v="West"/>
    <x v="0"/>
    <x v="0"/>
    <x v="1"/>
    <n v="9393"/>
    <n v="20"/>
    <n v="187860"/>
    <s v="Retail"/>
  </r>
  <r>
    <x v="1"/>
    <x v="18"/>
    <s v="West"/>
    <x v="0"/>
    <x v="0"/>
    <x v="2"/>
    <n v="12724"/>
    <n v="30"/>
    <n v="381720"/>
    <s v="Wholesale"/>
  </r>
  <r>
    <x v="1"/>
    <x v="18"/>
    <s v="West"/>
    <x v="0"/>
    <x v="0"/>
    <x v="3"/>
    <n v="9098"/>
    <n v="15"/>
    <n v="136470"/>
    <s v="E-commerce"/>
  </r>
  <r>
    <x v="1"/>
    <x v="18"/>
    <s v="West"/>
    <x v="1"/>
    <x v="1"/>
    <x v="4"/>
    <n v="14781"/>
    <n v="2"/>
    <n v="29562"/>
    <s v="Retail"/>
  </r>
  <r>
    <x v="1"/>
    <x v="18"/>
    <s v="West"/>
    <x v="1"/>
    <x v="1"/>
    <x v="5"/>
    <n v="14029"/>
    <n v="2"/>
    <n v="28058"/>
    <s v="Wholesale"/>
  </r>
  <r>
    <x v="1"/>
    <x v="18"/>
    <s v="West"/>
    <x v="1"/>
    <x v="1"/>
    <x v="6"/>
    <n v="14006"/>
    <n v="5"/>
    <n v="70030"/>
    <s v="Retail"/>
  </r>
  <r>
    <x v="1"/>
    <x v="18"/>
    <s v="West"/>
    <x v="1"/>
    <x v="2"/>
    <x v="7"/>
    <n v="6025"/>
    <n v="3"/>
    <n v="18075"/>
    <s v="E-commerce"/>
  </r>
  <r>
    <x v="1"/>
    <x v="19"/>
    <s v="West"/>
    <x v="0"/>
    <x v="0"/>
    <x v="0"/>
    <n v="14350"/>
    <n v="10"/>
    <n v="143500"/>
    <s v="Retail"/>
  </r>
  <r>
    <x v="1"/>
    <x v="19"/>
    <s v="West"/>
    <x v="0"/>
    <x v="0"/>
    <x v="1"/>
    <n v="11240"/>
    <n v="20"/>
    <n v="224800"/>
    <s v="Wholesale"/>
  </r>
  <r>
    <x v="1"/>
    <x v="19"/>
    <s v="West"/>
    <x v="0"/>
    <x v="0"/>
    <x v="2"/>
    <n v="5318"/>
    <n v="30"/>
    <n v="159540"/>
    <s v="Wholesale"/>
  </r>
  <r>
    <x v="1"/>
    <x v="19"/>
    <s v="West"/>
    <x v="0"/>
    <x v="0"/>
    <x v="3"/>
    <n v="11527"/>
    <n v="15"/>
    <n v="172905"/>
    <s v="Wholesale"/>
  </r>
  <r>
    <x v="1"/>
    <x v="19"/>
    <s v="West"/>
    <x v="1"/>
    <x v="1"/>
    <x v="4"/>
    <n v="12005"/>
    <n v="2"/>
    <n v="24010"/>
    <s v="Wholesale"/>
  </r>
  <r>
    <x v="1"/>
    <x v="19"/>
    <s v="West"/>
    <x v="1"/>
    <x v="1"/>
    <x v="5"/>
    <n v="9646"/>
    <n v="2"/>
    <n v="19292"/>
    <s v="Retail"/>
  </r>
  <r>
    <x v="1"/>
    <x v="19"/>
    <s v="West"/>
    <x v="1"/>
    <x v="1"/>
    <x v="6"/>
    <n v="13418"/>
    <n v="5"/>
    <n v="67090"/>
    <s v="Retail"/>
  </r>
  <r>
    <x v="1"/>
    <x v="19"/>
    <s v="West"/>
    <x v="1"/>
    <x v="2"/>
    <x v="7"/>
    <n v="8435"/>
    <n v="3"/>
    <n v="25305"/>
    <s v="Retail"/>
  </r>
  <r>
    <x v="1"/>
    <x v="20"/>
    <s v="West"/>
    <x v="0"/>
    <x v="0"/>
    <x v="0"/>
    <n v="14186"/>
    <n v="10"/>
    <n v="141860"/>
    <s v="Retail"/>
  </r>
  <r>
    <x v="1"/>
    <x v="20"/>
    <s v="West"/>
    <x v="0"/>
    <x v="0"/>
    <x v="1"/>
    <n v="9043"/>
    <n v="20"/>
    <n v="180860"/>
    <s v="Wholesale"/>
  </r>
  <r>
    <x v="1"/>
    <x v="20"/>
    <s v="West"/>
    <x v="0"/>
    <x v="0"/>
    <x v="2"/>
    <n v="12111"/>
    <n v="30"/>
    <n v="363330"/>
    <s v="Wholesale"/>
  </r>
  <r>
    <x v="1"/>
    <x v="20"/>
    <s v="West"/>
    <x v="0"/>
    <x v="0"/>
    <x v="3"/>
    <n v="10684"/>
    <n v="15"/>
    <n v="160260"/>
    <s v="E-commerce"/>
  </r>
  <r>
    <x v="1"/>
    <x v="20"/>
    <s v="West"/>
    <x v="1"/>
    <x v="1"/>
    <x v="4"/>
    <n v="11308"/>
    <n v="2"/>
    <n v="22616"/>
    <s v="E-commerce"/>
  </r>
  <r>
    <x v="1"/>
    <x v="20"/>
    <s v="West"/>
    <x v="1"/>
    <x v="1"/>
    <x v="5"/>
    <n v="6982"/>
    <n v="2"/>
    <n v="13964"/>
    <s v="E-commerce"/>
  </r>
  <r>
    <x v="1"/>
    <x v="20"/>
    <s v="West"/>
    <x v="1"/>
    <x v="1"/>
    <x v="6"/>
    <n v="7457"/>
    <n v="5"/>
    <n v="37285"/>
    <s v="Wholesale"/>
  </r>
  <r>
    <x v="1"/>
    <x v="20"/>
    <s v="West"/>
    <x v="1"/>
    <x v="2"/>
    <x v="7"/>
    <n v="9691"/>
    <n v="3"/>
    <n v="29073"/>
    <s v="Retail"/>
  </r>
  <r>
    <x v="1"/>
    <x v="21"/>
    <s v="West"/>
    <x v="0"/>
    <x v="0"/>
    <x v="0"/>
    <n v="5034"/>
    <n v="10"/>
    <n v="50340"/>
    <s v="Wholesale"/>
  </r>
  <r>
    <x v="1"/>
    <x v="21"/>
    <s v="West"/>
    <x v="0"/>
    <x v="0"/>
    <x v="1"/>
    <n v="12745"/>
    <n v="20"/>
    <n v="254900"/>
    <s v="E-commerce"/>
  </r>
  <r>
    <x v="1"/>
    <x v="21"/>
    <s v="West"/>
    <x v="0"/>
    <x v="0"/>
    <x v="2"/>
    <n v="6817"/>
    <n v="30"/>
    <n v="204510"/>
    <s v="E-commerce"/>
  </r>
  <r>
    <x v="1"/>
    <x v="21"/>
    <s v="West"/>
    <x v="0"/>
    <x v="0"/>
    <x v="3"/>
    <n v="8477"/>
    <n v="15"/>
    <n v="127155"/>
    <s v="E-commerce"/>
  </r>
  <r>
    <x v="1"/>
    <x v="21"/>
    <s v="West"/>
    <x v="1"/>
    <x v="1"/>
    <x v="4"/>
    <n v="9425"/>
    <n v="2"/>
    <n v="18850"/>
    <s v="E-commerce"/>
  </r>
  <r>
    <x v="1"/>
    <x v="21"/>
    <s v="West"/>
    <x v="1"/>
    <x v="1"/>
    <x v="5"/>
    <n v="12387"/>
    <n v="2"/>
    <n v="24774"/>
    <s v="Wholesale"/>
  </r>
  <r>
    <x v="1"/>
    <x v="21"/>
    <s v="West"/>
    <x v="1"/>
    <x v="1"/>
    <x v="6"/>
    <n v="12757"/>
    <n v="5"/>
    <n v="63785"/>
    <s v="E-commerce"/>
  </r>
  <r>
    <x v="1"/>
    <x v="21"/>
    <s v="West"/>
    <x v="1"/>
    <x v="2"/>
    <x v="7"/>
    <n v="7967"/>
    <n v="3"/>
    <n v="23901"/>
    <s v="Wholesale"/>
  </r>
  <r>
    <x v="2"/>
    <x v="0"/>
    <s v="North"/>
    <x v="0"/>
    <x v="0"/>
    <x v="0"/>
    <n v="8674"/>
    <n v="10"/>
    <n v="86740"/>
    <s v="Wholesale"/>
  </r>
  <r>
    <x v="2"/>
    <x v="0"/>
    <s v="North"/>
    <x v="0"/>
    <x v="0"/>
    <x v="1"/>
    <n v="13001"/>
    <n v="20"/>
    <n v="260020"/>
    <s v="Wholesale"/>
  </r>
  <r>
    <x v="2"/>
    <x v="0"/>
    <s v="North"/>
    <x v="0"/>
    <x v="0"/>
    <x v="2"/>
    <n v="13843"/>
    <n v="30"/>
    <n v="415290"/>
    <s v="Retail"/>
  </r>
  <r>
    <x v="2"/>
    <x v="0"/>
    <s v="North"/>
    <x v="0"/>
    <x v="0"/>
    <x v="3"/>
    <n v="13963"/>
    <n v="15"/>
    <n v="209445"/>
    <s v="E-commerce"/>
  </r>
  <r>
    <x v="2"/>
    <x v="0"/>
    <s v="North"/>
    <x v="1"/>
    <x v="1"/>
    <x v="4"/>
    <n v="9833"/>
    <n v="2"/>
    <n v="19666"/>
    <s v="Wholesale"/>
  </r>
  <r>
    <x v="2"/>
    <x v="0"/>
    <s v="North"/>
    <x v="1"/>
    <x v="1"/>
    <x v="5"/>
    <n v="7170"/>
    <n v="2"/>
    <n v="14340"/>
    <s v="Retail"/>
  </r>
  <r>
    <x v="2"/>
    <x v="0"/>
    <s v="North"/>
    <x v="1"/>
    <x v="1"/>
    <x v="6"/>
    <n v="7392"/>
    <n v="5"/>
    <n v="36960"/>
    <s v="Retail"/>
  </r>
  <r>
    <x v="2"/>
    <x v="0"/>
    <s v="North"/>
    <x v="1"/>
    <x v="2"/>
    <x v="7"/>
    <n v="9564"/>
    <n v="3"/>
    <n v="28692"/>
    <s v="Retail"/>
  </r>
  <r>
    <x v="2"/>
    <x v="1"/>
    <s v="North"/>
    <x v="0"/>
    <x v="0"/>
    <x v="0"/>
    <n v="5281"/>
    <n v="10"/>
    <n v="52810"/>
    <s v="Wholesale"/>
  </r>
  <r>
    <x v="2"/>
    <x v="1"/>
    <s v="North"/>
    <x v="0"/>
    <x v="0"/>
    <x v="1"/>
    <n v="10573"/>
    <n v="20"/>
    <n v="211460"/>
    <s v="Retail"/>
  </r>
  <r>
    <x v="2"/>
    <x v="1"/>
    <s v="North"/>
    <x v="0"/>
    <x v="0"/>
    <x v="2"/>
    <n v="11083"/>
    <n v="30"/>
    <n v="332490"/>
    <s v="Retail"/>
  </r>
  <r>
    <x v="2"/>
    <x v="1"/>
    <s v="North"/>
    <x v="0"/>
    <x v="0"/>
    <x v="3"/>
    <n v="9441"/>
    <n v="15"/>
    <n v="141615"/>
    <s v="Wholesale"/>
  </r>
  <r>
    <x v="2"/>
    <x v="1"/>
    <s v="North"/>
    <x v="1"/>
    <x v="1"/>
    <x v="4"/>
    <n v="13882"/>
    <n v="2"/>
    <n v="27764"/>
    <s v="Retail"/>
  </r>
  <r>
    <x v="2"/>
    <x v="1"/>
    <s v="North"/>
    <x v="1"/>
    <x v="1"/>
    <x v="5"/>
    <n v="6343"/>
    <n v="2"/>
    <n v="12686"/>
    <s v="Wholesale"/>
  </r>
  <r>
    <x v="2"/>
    <x v="1"/>
    <s v="North"/>
    <x v="1"/>
    <x v="1"/>
    <x v="6"/>
    <n v="7413"/>
    <n v="5"/>
    <n v="37065"/>
    <s v="Wholesale"/>
  </r>
  <r>
    <x v="2"/>
    <x v="1"/>
    <s v="North"/>
    <x v="1"/>
    <x v="2"/>
    <x v="7"/>
    <n v="8692"/>
    <n v="3"/>
    <n v="26076"/>
    <s v="E-commerce"/>
  </r>
  <r>
    <x v="2"/>
    <x v="2"/>
    <s v="North"/>
    <x v="0"/>
    <x v="0"/>
    <x v="0"/>
    <n v="11874"/>
    <n v="10"/>
    <n v="118740"/>
    <s v="Wholesale"/>
  </r>
  <r>
    <x v="2"/>
    <x v="2"/>
    <s v="North"/>
    <x v="0"/>
    <x v="0"/>
    <x v="1"/>
    <n v="8520"/>
    <n v="20"/>
    <n v="170400"/>
    <s v="Retail"/>
  </r>
  <r>
    <x v="2"/>
    <x v="2"/>
    <s v="North"/>
    <x v="0"/>
    <x v="0"/>
    <x v="2"/>
    <n v="7217"/>
    <n v="30"/>
    <n v="216510"/>
    <s v="E-commerce"/>
  </r>
  <r>
    <x v="2"/>
    <x v="2"/>
    <s v="North"/>
    <x v="0"/>
    <x v="0"/>
    <x v="3"/>
    <n v="12690"/>
    <n v="15"/>
    <n v="190350"/>
    <s v="Wholesale"/>
  </r>
  <r>
    <x v="2"/>
    <x v="2"/>
    <s v="North"/>
    <x v="1"/>
    <x v="1"/>
    <x v="4"/>
    <n v="9695"/>
    <n v="2"/>
    <n v="19390"/>
    <s v="E-commerce"/>
  </r>
  <r>
    <x v="2"/>
    <x v="2"/>
    <s v="North"/>
    <x v="1"/>
    <x v="1"/>
    <x v="5"/>
    <n v="5484"/>
    <n v="2"/>
    <n v="10968"/>
    <s v="E-commerce"/>
  </r>
  <r>
    <x v="2"/>
    <x v="2"/>
    <s v="North"/>
    <x v="1"/>
    <x v="1"/>
    <x v="6"/>
    <n v="14047"/>
    <n v="5"/>
    <n v="70235"/>
    <s v="Wholesale"/>
  </r>
  <r>
    <x v="2"/>
    <x v="2"/>
    <s v="North"/>
    <x v="1"/>
    <x v="2"/>
    <x v="7"/>
    <n v="7678"/>
    <n v="3"/>
    <n v="23034"/>
    <s v="Wholesale"/>
  </r>
  <r>
    <x v="2"/>
    <x v="3"/>
    <s v="North"/>
    <x v="0"/>
    <x v="0"/>
    <x v="0"/>
    <n v="8239"/>
    <n v="10"/>
    <n v="82390"/>
    <s v="E-commerce"/>
  </r>
  <r>
    <x v="2"/>
    <x v="3"/>
    <s v="North"/>
    <x v="0"/>
    <x v="0"/>
    <x v="1"/>
    <n v="8576"/>
    <n v="20"/>
    <n v="171520"/>
    <s v="E-commerce"/>
  </r>
  <r>
    <x v="2"/>
    <x v="3"/>
    <s v="North"/>
    <x v="0"/>
    <x v="0"/>
    <x v="2"/>
    <n v="14930"/>
    <n v="30"/>
    <n v="447900"/>
    <s v="Retail"/>
  </r>
  <r>
    <x v="2"/>
    <x v="3"/>
    <s v="North"/>
    <x v="0"/>
    <x v="0"/>
    <x v="3"/>
    <n v="5548"/>
    <n v="15"/>
    <n v="83220"/>
    <s v="Retail"/>
  </r>
  <r>
    <x v="2"/>
    <x v="3"/>
    <s v="North"/>
    <x v="1"/>
    <x v="1"/>
    <x v="4"/>
    <n v="13810"/>
    <n v="2"/>
    <n v="27620"/>
    <s v="Wholesale"/>
  </r>
  <r>
    <x v="2"/>
    <x v="3"/>
    <s v="North"/>
    <x v="1"/>
    <x v="1"/>
    <x v="5"/>
    <n v="11789"/>
    <n v="2"/>
    <n v="23578"/>
    <s v="E-commerce"/>
  </r>
  <r>
    <x v="2"/>
    <x v="3"/>
    <s v="North"/>
    <x v="1"/>
    <x v="1"/>
    <x v="6"/>
    <n v="8797"/>
    <n v="5"/>
    <n v="43985"/>
    <s v="Retail"/>
  </r>
  <r>
    <x v="2"/>
    <x v="3"/>
    <s v="North"/>
    <x v="1"/>
    <x v="2"/>
    <x v="7"/>
    <n v="12313"/>
    <n v="3"/>
    <n v="36939"/>
    <s v="E-commerce"/>
  </r>
  <r>
    <x v="2"/>
    <x v="4"/>
    <s v="North"/>
    <x v="0"/>
    <x v="0"/>
    <x v="0"/>
    <n v="8299"/>
    <n v="10"/>
    <n v="82990"/>
    <s v="Retail"/>
  </r>
  <r>
    <x v="2"/>
    <x v="4"/>
    <s v="North"/>
    <x v="0"/>
    <x v="0"/>
    <x v="1"/>
    <n v="5040"/>
    <n v="20"/>
    <n v="100800"/>
    <s v="E-commerce"/>
  </r>
  <r>
    <x v="2"/>
    <x v="4"/>
    <s v="North"/>
    <x v="0"/>
    <x v="0"/>
    <x v="2"/>
    <n v="8179"/>
    <n v="30"/>
    <n v="245370"/>
    <s v="E-commerce"/>
  </r>
  <r>
    <x v="2"/>
    <x v="4"/>
    <s v="North"/>
    <x v="0"/>
    <x v="0"/>
    <x v="3"/>
    <n v="13941"/>
    <n v="15"/>
    <n v="209115"/>
    <s v="Wholesale"/>
  </r>
  <r>
    <x v="2"/>
    <x v="4"/>
    <s v="North"/>
    <x v="1"/>
    <x v="1"/>
    <x v="4"/>
    <n v="7630"/>
    <n v="2"/>
    <n v="15260"/>
    <s v="Wholesale"/>
  </r>
  <r>
    <x v="2"/>
    <x v="4"/>
    <s v="North"/>
    <x v="1"/>
    <x v="1"/>
    <x v="5"/>
    <n v="6921"/>
    <n v="2"/>
    <n v="13842"/>
    <s v="Wholesale"/>
  </r>
  <r>
    <x v="2"/>
    <x v="4"/>
    <s v="North"/>
    <x v="1"/>
    <x v="1"/>
    <x v="6"/>
    <n v="12002"/>
    <n v="5"/>
    <n v="60010"/>
    <s v="Retail"/>
  </r>
  <r>
    <x v="2"/>
    <x v="4"/>
    <s v="North"/>
    <x v="1"/>
    <x v="2"/>
    <x v="7"/>
    <n v="13048"/>
    <n v="3"/>
    <n v="39144"/>
    <s v="E-commerce"/>
  </r>
  <r>
    <x v="2"/>
    <x v="5"/>
    <s v="North"/>
    <x v="0"/>
    <x v="0"/>
    <x v="0"/>
    <n v="13272"/>
    <n v="10"/>
    <n v="132720"/>
    <s v="Wholesale"/>
  </r>
  <r>
    <x v="2"/>
    <x v="5"/>
    <s v="North"/>
    <x v="0"/>
    <x v="0"/>
    <x v="1"/>
    <n v="6773"/>
    <n v="20"/>
    <n v="135460"/>
    <s v="Wholesale"/>
  </r>
  <r>
    <x v="2"/>
    <x v="5"/>
    <s v="North"/>
    <x v="0"/>
    <x v="0"/>
    <x v="2"/>
    <n v="11387"/>
    <n v="30"/>
    <n v="341610"/>
    <s v="Wholesale"/>
  </r>
  <r>
    <x v="2"/>
    <x v="5"/>
    <s v="North"/>
    <x v="0"/>
    <x v="0"/>
    <x v="3"/>
    <n v="9115"/>
    <n v="15"/>
    <n v="136725"/>
    <s v="E-commerce"/>
  </r>
  <r>
    <x v="2"/>
    <x v="5"/>
    <s v="North"/>
    <x v="1"/>
    <x v="1"/>
    <x v="4"/>
    <n v="6600"/>
    <n v="2"/>
    <n v="13200"/>
    <s v="Wholesale"/>
  </r>
  <r>
    <x v="2"/>
    <x v="5"/>
    <s v="North"/>
    <x v="1"/>
    <x v="1"/>
    <x v="5"/>
    <n v="10979"/>
    <n v="2"/>
    <n v="21958"/>
    <s v="Retail"/>
  </r>
  <r>
    <x v="2"/>
    <x v="5"/>
    <s v="North"/>
    <x v="1"/>
    <x v="1"/>
    <x v="6"/>
    <n v="8790"/>
    <n v="5"/>
    <n v="43950"/>
    <s v="Wholesale"/>
  </r>
  <r>
    <x v="2"/>
    <x v="5"/>
    <s v="North"/>
    <x v="1"/>
    <x v="2"/>
    <x v="7"/>
    <n v="9043"/>
    <n v="3"/>
    <n v="27129"/>
    <s v="E-commerce"/>
  </r>
  <r>
    <x v="2"/>
    <x v="6"/>
    <s v="North"/>
    <x v="0"/>
    <x v="0"/>
    <x v="0"/>
    <n v="13708"/>
    <n v="10"/>
    <n v="137080"/>
    <s v="Wholesale"/>
  </r>
  <r>
    <x v="2"/>
    <x v="6"/>
    <s v="North"/>
    <x v="0"/>
    <x v="0"/>
    <x v="1"/>
    <n v="8793"/>
    <n v="20"/>
    <n v="175860"/>
    <s v="Retail"/>
  </r>
  <r>
    <x v="2"/>
    <x v="6"/>
    <s v="North"/>
    <x v="0"/>
    <x v="0"/>
    <x v="2"/>
    <n v="10276"/>
    <n v="30"/>
    <n v="308280"/>
    <s v="E-commerce"/>
  </r>
  <r>
    <x v="2"/>
    <x v="6"/>
    <s v="North"/>
    <x v="0"/>
    <x v="0"/>
    <x v="3"/>
    <n v="12810"/>
    <n v="15"/>
    <n v="192150"/>
    <s v="Wholesale"/>
  </r>
  <r>
    <x v="2"/>
    <x v="6"/>
    <s v="North"/>
    <x v="1"/>
    <x v="1"/>
    <x v="4"/>
    <n v="14684"/>
    <n v="2"/>
    <n v="29368"/>
    <s v="Retail"/>
  </r>
  <r>
    <x v="2"/>
    <x v="6"/>
    <s v="North"/>
    <x v="1"/>
    <x v="1"/>
    <x v="5"/>
    <n v="10320"/>
    <n v="2"/>
    <n v="20640"/>
    <s v="E-commerce"/>
  </r>
  <r>
    <x v="2"/>
    <x v="6"/>
    <s v="North"/>
    <x v="1"/>
    <x v="1"/>
    <x v="6"/>
    <n v="5774"/>
    <n v="5"/>
    <n v="28870"/>
    <s v="Wholesale"/>
  </r>
  <r>
    <x v="2"/>
    <x v="6"/>
    <s v="North"/>
    <x v="1"/>
    <x v="2"/>
    <x v="7"/>
    <n v="10057"/>
    <n v="3"/>
    <n v="30171"/>
    <s v="Retail"/>
  </r>
  <r>
    <x v="2"/>
    <x v="7"/>
    <s v="South"/>
    <x v="0"/>
    <x v="0"/>
    <x v="0"/>
    <n v="6940"/>
    <n v="10"/>
    <n v="69400"/>
    <s v="Wholesale"/>
  </r>
  <r>
    <x v="2"/>
    <x v="7"/>
    <s v="South"/>
    <x v="0"/>
    <x v="0"/>
    <x v="1"/>
    <n v="13999"/>
    <n v="20"/>
    <n v="279980"/>
    <s v="E-commerce"/>
  </r>
  <r>
    <x v="2"/>
    <x v="7"/>
    <s v="South"/>
    <x v="0"/>
    <x v="0"/>
    <x v="2"/>
    <n v="6370"/>
    <n v="30"/>
    <n v="191100"/>
    <s v="Retail"/>
  </r>
  <r>
    <x v="2"/>
    <x v="7"/>
    <s v="South"/>
    <x v="0"/>
    <x v="0"/>
    <x v="3"/>
    <n v="14475"/>
    <n v="15"/>
    <n v="217125"/>
    <s v="Retail"/>
  </r>
  <r>
    <x v="2"/>
    <x v="7"/>
    <s v="South"/>
    <x v="1"/>
    <x v="1"/>
    <x v="4"/>
    <n v="13624"/>
    <n v="2"/>
    <n v="27248"/>
    <s v="Retail"/>
  </r>
  <r>
    <x v="2"/>
    <x v="7"/>
    <s v="South"/>
    <x v="1"/>
    <x v="1"/>
    <x v="5"/>
    <n v="11630"/>
    <n v="2"/>
    <n v="23260"/>
    <s v="Retail"/>
  </r>
  <r>
    <x v="2"/>
    <x v="7"/>
    <s v="South"/>
    <x v="1"/>
    <x v="1"/>
    <x v="6"/>
    <n v="13601"/>
    <n v="5"/>
    <n v="68005"/>
    <s v="E-commerce"/>
  </r>
  <r>
    <x v="2"/>
    <x v="7"/>
    <s v="South"/>
    <x v="1"/>
    <x v="2"/>
    <x v="7"/>
    <n v="6069"/>
    <n v="3"/>
    <n v="18207"/>
    <s v="E-commerce"/>
  </r>
  <r>
    <x v="2"/>
    <x v="8"/>
    <s v="South"/>
    <x v="0"/>
    <x v="0"/>
    <x v="0"/>
    <n v="8492"/>
    <n v="10"/>
    <n v="84920"/>
    <s v="E-commerce"/>
  </r>
  <r>
    <x v="2"/>
    <x v="8"/>
    <s v="South"/>
    <x v="0"/>
    <x v="0"/>
    <x v="1"/>
    <n v="11495"/>
    <n v="20"/>
    <n v="229900"/>
    <s v="Wholesale"/>
  </r>
  <r>
    <x v="2"/>
    <x v="8"/>
    <s v="South"/>
    <x v="0"/>
    <x v="0"/>
    <x v="2"/>
    <n v="5205"/>
    <n v="30"/>
    <n v="156150"/>
    <s v="Wholesale"/>
  </r>
  <r>
    <x v="2"/>
    <x v="8"/>
    <s v="South"/>
    <x v="0"/>
    <x v="0"/>
    <x v="3"/>
    <n v="7708"/>
    <n v="15"/>
    <n v="115620"/>
    <s v="Wholesale"/>
  </r>
  <r>
    <x v="2"/>
    <x v="8"/>
    <s v="South"/>
    <x v="1"/>
    <x v="1"/>
    <x v="4"/>
    <n v="11022"/>
    <n v="2"/>
    <n v="22044"/>
    <s v="E-commerce"/>
  </r>
  <r>
    <x v="2"/>
    <x v="8"/>
    <s v="South"/>
    <x v="1"/>
    <x v="1"/>
    <x v="5"/>
    <n v="11186"/>
    <n v="2"/>
    <n v="22372"/>
    <s v="Retail"/>
  </r>
  <r>
    <x v="2"/>
    <x v="8"/>
    <s v="South"/>
    <x v="1"/>
    <x v="1"/>
    <x v="6"/>
    <n v="11494"/>
    <n v="5"/>
    <n v="57470"/>
    <s v="Retail"/>
  </r>
  <r>
    <x v="2"/>
    <x v="8"/>
    <s v="South"/>
    <x v="1"/>
    <x v="2"/>
    <x v="7"/>
    <n v="5526"/>
    <n v="3"/>
    <n v="16578"/>
    <s v="Retail"/>
  </r>
  <r>
    <x v="2"/>
    <x v="9"/>
    <s v="South"/>
    <x v="0"/>
    <x v="0"/>
    <x v="0"/>
    <n v="13736"/>
    <n v="10"/>
    <n v="137360"/>
    <s v="Retail"/>
  </r>
  <r>
    <x v="2"/>
    <x v="9"/>
    <s v="South"/>
    <x v="0"/>
    <x v="0"/>
    <x v="1"/>
    <n v="8918"/>
    <n v="20"/>
    <n v="178360"/>
    <s v="E-commerce"/>
  </r>
  <r>
    <x v="2"/>
    <x v="9"/>
    <s v="South"/>
    <x v="0"/>
    <x v="0"/>
    <x v="2"/>
    <n v="11369"/>
    <n v="30"/>
    <n v="341070"/>
    <s v="Wholesale"/>
  </r>
  <r>
    <x v="2"/>
    <x v="9"/>
    <s v="South"/>
    <x v="0"/>
    <x v="0"/>
    <x v="3"/>
    <n v="11145"/>
    <n v="15"/>
    <n v="167175"/>
    <s v="Retail"/>
  </r>
  <r>
    <x v="2"/>
    <x v="9"/>
    <s v="South"/>
    <x v="1"/>
    <x v="1"/>
    <x v="4"/>
    <n v="12341"/>
    <n v="2"/>
    <n v="24682"/>
    <s v="Retail"/>
  </r>
  <r>
    <x v="2"/>
    <x v="9"/>
    <s v="South"/>
    <x v="1"/>
    <x v="1"/>
    <x v="5"/>
    <n v="5484"/>
    <n v="2"/>
    <n v="10968"/>
    <s v="Wholesale"/>
  </r>
  <r>
    <x v="2"/>
    <x v="9"/>
    <s v="South"/>
    <x v="1"/>
    <x v="1"/>
    <x v="6"/>
    <n v="6721"/>
    <n v="5"/>
    <n v="33605"/>
    <s v="E-commerce"/>
  </r>
  <r>
    <x v="2"/>
    <x v="9"/>
    <s v="South"/>
    <x v="1"/>
    <x v="2"/>
    <x v="7"/>
    <n v="8909"/>
    <n v="3"/>
    <n v="26727"/>
    <s v="Retail"/>
  </r>
  <r>
    <x v="2"/>
    <x v="10"/>
    <s v="South"/>
    <x v="0"/>
    <x v="0"/>
    <x v="0"/>
    <n v="7334"/>
    <n v="10"/>
    <n v="73340"/>
    <s v="Retail"/>
  </r>
  <r>
    <x v="2"/>
    <x v="10"/>
    <s v="South"/>
    <x v="0"/>
    <x v="0"/>
    <x v="1"/>
    <n v="9134"/>
    <n v="20"/>
    <n v="182680"/>
    <s v="E-commerce"/>
  </r>
  <r>
    <x v="2"/>
    <x v="10"/>
    <s v="South"/>
    <x v="0"/>
    <x v="0"/>
    <x v="2"/>
    <n v="11522"/>
    <n v="30"/>
    <n v="345660"/>
    <s v="Retail"/>
  </r>
  <r>
    <x v="2"/>
    <x v="10"/>
    <s v="South"/>
    <x v="0"/>
    <x v="0"/>
    <x v="3"/>
    <n v="12665"/>
    <n v="15"/>
    <n v="189975"/>
    <s v="E-commerce"/>
  </r>
  <r>
    <x v="2"/>
    <x v="10"/>
    <s v="South"/>
    <x v="1"/>
    <x v="1"/>
    <x v="4"/>
    <n v="8870"/>
    <n v="2"/>
    <n v="17740"/>
    <s v="E-commerce"/>
  </r>
  <r>
    <x v="2"/>
    <x v="10"/>
    <s v="South"/>
    <x v="1"/>
    <x v="1"/>
    <x v="5"/>
    <n v="8389"/>
    <n v="2"/>
    <n v="16778"/>
    <s v="Wholesale"/>
  </r>
  <r>
    <x v="2"/>
    <x v="10"/>
    <s v="South"/>
    <x v="1"/>
    <x v="1"/>
    <x v="6"/>
    <n v="11522"/>
    <n v="5"/>
    <n v="57610"/>
    <s v="E-commerce"/>
  </r>
  <r>
    <x v="2"/>
    <x v="10"/>
    <s v="South"/>
    <x v="1"/>
    <x v="2"/>
    <x v="7"/>
    <n v="14019"/>
    <n v="3"/>
    <n v="42057"/>
    <s v="E-commerce"/>
  </r>
  <r>
    <x v="2"/>
    <x v="11"/>
    <s v="South"/>
    <x v="0"/>
    <x v="0"/>
    <x v="0"/>
    <n v="8170"/>
    <n v="10"/>
    <n v="81700"/>
    <s v="Wholesale"/>
  </r>
  <r>
    <x v="2"/>
    <x v="11"/>
    <s v="South"/>
    <x v="0"/>
    <x v="0"/>
    <x v="1"/>
    <n v="8152"/>
    <n v="20"/>
    <n v="163040"/>
    <s v="Wholesale"/>
  </r>
  <r>
    <x v="2"/>
    <x v="11"/>
    <s v="South"/>
    <x v="0"/>
    <x v="0"/>
    <x v="2"/>
    <n v="6161"/>
    <n v="30"/>
    <n v="184830"/>
    <s v="Retail"/>
  </r>
  <r>
    <x v="2"/>
    <x v="11"/>
    <s v="South"/>
    <x v="0"/>
    <x v="0"/>
    <x v="3"/>
    <n v="14012"/>
    <n v="15"/>
    <n v="210180"/>
    <s v="Wholesale"/>
  </r>
  <r>
    <x v="2"/>
    <x v="11"/>
    <s v="South"/>
    <x v="1"/>
    <x v="1"/>
    <x v="4"/>
    <n v="6036"/>
    <n v="2"/>
    <n v="12072"/>
    <s v="Wholesale"/>
  </r>
  <r>
    <x v="2"/>
    <x v="11"/>
    <s v="South"/>
    <x v="1"/>
    <x v="1"/>
    <x v="5"/>
    <n v="7235"/>
    <n v="2"/>
    <n v="14470"/>
    <s v="E-commerce"/>
  </r>
  <r>
    <x v="2"/>
    <x v="11"/>
    <s v="South"/>
    <x v="1"/>
    <x v="1"/>
    <x v="6"/>
    <n v="13381"/>
    <n v="5"/>
    <n v="66905"/>
    <s v="Wholesale"/>
  </r>
  <r>
    <x v="2"/>
    <x v="11"/>
    <s v="South"/>
    <x v="1"/>
    <x v="2"/>
    <x v="7"/>
    <n v="6572"/>
    <n v="3"/>
    <n v="19716"/>
    <s v="Wholesale"/>
  </r>
  <r>
    <x v="2"/>
    <x v="12"/>
    <s v="East"/>
    <x v="0"/>
    <x v="0"/>
    <x v="0"/>
    <n v="11584"/>
    <n v="10"/>
    <n v="115840"/>
    <s v="E-commerce"/>
  </r>
  <r>
    <x v="2"/>
    <x v="12"/>
    <s v="East"/>
    <x v="0"/>
    <x v="0"/>
    <x v="1"/>
    <n v="13007"/>
    <n v="20"/>
    <n v="260140"/>
    <s v="Retail"/>
  </r>
  <r>
    <x v="2"/>
    <x v="12"/>
    <s v="East"/>
    <x v="0"/>
    <x v="0"/>
    <x v="2"/>
    <n v="10016"/>
    <n v="30"/>
    <n v="300480"/>
    <s v="E-commerce"/>
  </r>
  <r>
    <x v="2"/>
    <x v="12"/>
    <s v="East"/>
    <x v="0"/>
    <x v="0"/>
    <x v="3"/>
    <n v="7362"/>
    <n v="15"/>
    <n v="110430"/>
    <s v="Wholesale"/>
  </r>
  <r>
    <x v="2"/>
    <x v="12"/>
    <s v="East"/>
    <x v="1"/>
    <x v="1"/>
    <x v="4"/>
    <n v="11251"/>
    <n v="2"/>
    <n v="22502"/>
    <s v="Wholesale"/>
  </r>
  <r>
    <x v="2"/>
    <x v="12"/>
    <s v="East"/>
    <x v="1"/>
    <x v="1"/>
    <x v="5"/>
    <n v="14940"/>
    <n v="2"/>
    <n v="29880"/>
    <s v="Wholesale"/>
  </r>
  <r>
    <x v="2"/>
    <x v="12"/>
    <s v="East"/>
    <x v="1"/>
    <x v="1"/>
    <x v="6"/>
    <n v="8472"/>
    <n v="5"/>
    <n v="42360"/>
    <s v="Retail"/>
  </r>
  <r>
    <x v="2"/>
    <x v="12"/>
    <s v="East"/>
    <x v="1"/>
    <x v="2"/>
    <x v="7"/>
    <n v="8821"/>
    <n v="3"/>
    <n v="26463"/>
    <s v="Retail"/>
  </r>
  <r>
    <x v="2"/>
    <x v="13"/>
    <s v="East"/>
    <x v="0"/>
    <x v="0"/>
    <x v="0"/>
    <n v="14399"/>
    <n v="10"/>
    <n v="143990"/>
    <s v="E-commerce"/>
  </r>
  <r>
    <x v="2"/>
    <x v="13"/>
    <s v="East"/>
    <x v="0"/>
    <x v="0"/>
    <x v="1"/>
    <n v="12212"/>
    <n v="20"/>
    <n v="244240"/>
    <s v="Retail"/>
  </r>
  <r>
    <x v="2"/>
    <x v="13"/>
    <s v="East"/>
    <x v="0"/>
    <x v="0"/>
    <x v="2"/>
    <n v="9691"/>
    <n v="30"/>
    <n v="290730"/>
    <s v="Wholesale"/>
  </r>
  <r>
    <x v="2"/>
    <x v="13"/>
    <s v="East"/>
    <x v="0"/>
    <x v="0"/>
    <x v="3"/>
    <n v="11027"/>
    <n v="15"/>
    <n v="165405"/>
    <s v="Wholesale"/>
  </r>
  <r>
    <x v="2"/>
    <x v="13"/>
    <s v="East"/>
    <x v="1"/>
    <x v="1"/>
    <x v="4"/>
    <n v="5439"/>
    <n v="2"/>
    <n v="10878"/>
    <s v="Wholesale"/>
  </r>
  <r>
    <x v="2"/>
    <x v="13"/>
    <s v="East"/>
    <x v="1"/>
    <x v="1"/>
    <x v="5"/>
    <n v="7364"/>
    <n v="2"/>
    <n v="14728"/>
    <s v="E-commerce"/>
  </r>
  <r>
    <x v="2"/>
    <x v="13"/>
    <s v="East"/>
    <x v="1"/>
    <x v="1"/>
    <x v="6"/>
    <n v="10313"/>
    <n v="5"/>
    <n v="51565"/>
    <s v="Wholesale"/>
  </r>
  <r>
    <x v="2"/>
    <x v="13"/>
    <s v="East"/>
    <x v="1"/>
    <x v="2"/>
    <x v="7"/>
    <n v="10979"/>
    <n v="3"/>
    <n v="32937"/>
    <s v="Wholesale"/>
  </r>
  <r>
    <x v="2"/>
    <x v="14"/>
    <s v="East"/>
    <x v="0"/>
    <x v="0"/>
    <x v="0"/>
    <n v="6209"/>
    <n v="10"/>
    <n v="62090"/>
    <s v="E-commerce"/>
  </r>
  <r>
    <x v="2"/>
    <x v="14"/>
    <s v="East"/>
    <x v="0"/>
    <x v="0"/>
    <x v="1"/>
    <n v="5009"/>
    <n v="20"/>
    <n v="100180"/>
    <s v="Wholesale"/>
  </r>
  <r>
    <x v="2"/>
    <x v="14"/>
    <s v="East"/>
    <x v="0"/>
    <x v="0"/>
    <x v="2"/>
    <n v="5966"/>
    <n v="30"/>
    <n v="178980"/>
    <s v="Retail"/>
  </r>
  <r>
    <x v="2"/>
    <x v="14"/>
    <s v="East"/>
    <x v="0"/>
    <x v="0"/>
    <x v="3"/>
    <n v="14478"/>
    <n v="15"/>
    <n v="217170"/>
    <s v="Retail"/>
  </r>
  <r>
    <x v="2"/>
    <x v="14"/>
    <s v="East"/>
    <x v="1"/>
    <x v="1"/>
    <x v="4"/>
    <n v="7467"/>
    <n v="2"/>
    <n v="14934"/>
    <s v="Wholesale"/>
  </r>
  <r>
    <x v="2"/>
    <x v="14"/>
    <s v="East"/>
    <x v="1"/>
    <x v="1"/>
    <x v="5"/>
    <n v="9004"/>
    <n v="2"/>
    <n v="18008"/>
    <s v="E-commerce"/>
  </r>
  <r>
    <x v="2"/>
    <x v="14"/>
    <s v="East"/>
    <x v="1"/>
    <x v="1"/>
    <x v="6"/>
    <n v="8384"/>
    <n v="5"/>
    <n v="41920"/>
    <s v="Retail"/>
  </r>
  <r>
    <x v="2"/>
    <x v="14"/>
    <s v="East"/>
    <x v="1"/>
    <x v="2"/>
    <x v="7"/>
    <n v="9751"/>
    <n v="3"/>
    <n v="29253"/>
    <s v="Wholesale"/>
  </r>
  <r>
    <x v="2"/>
    <x v="15"/>
    <s v="East"/>
    <x v="0"/>
    <x v="0"/>
    <x v="0"/>
    <n v="6538"/>
    <n v="10"/>
    <n v="65380"/>
    <s v="Retail"/>
  </r>
  <r>
    <x v="2"/>
    <x v="15"/>
    <s v="East"/>
    <x v="0"/>
    <x v="0"/>
    <x v="1"/>
    <n v="5045"/>
    <n v="20"/>
    <n v="100900"/>
    <s v="Wholesale"/>
  </r>
  <r>
    <x v="2"/>
    <x v="15"/>
    <s v="East"/>
    <x v="0"/>
    <x v="0"/>
    <x v="2"/>
    <n v="9244"/>
    <n v="30"/>
    <n v="277320"/>
    <s v="E-commerce"/>
  </r>
  <r>
    <x v="2"/>
    <x v="15"/>
    <s v="East"/>
    <x v="0"/>
    <x v="0"/>
    <x v="3"/>
    <n v="9625"/>
    <n v="15"/>
    <n v="144375"/>
    <s v="Wholesale"/>
  </r>
  <r>
    <x v="2"/>
    <x v="15"/>
    <s v="East"/>
    <x v="1"/>
    <x v="1"/>
    <x v="4"/>
    <n v="10721"/>
    <n v="2"/>
    <n v="21442"/>
    <s v="Retail"/>
  </r>
  <r>
    <x v="2"/>
    <x v="15"/>
    <s v="East"/>
    <x v="1"/>
    <x v="1"/>
    <x v="5"/>
    <n v="14862"/>
    <n v="2"/>
    <n v="29724"/>
    <s v="E-commerce"/>
  </r>
  <r>
    <x v="2"/>
    <x v="15"/>
    <s v="East"/>
    <x v="1"/>
    <x v="1"/>
    <x v="6"/>
    <n v="7003"/>
    <n v="5"/>
    <n v="35015"/>
    <s v="E-commerce"/>
  </r>
  <r>
    <x v="2"/>
    <x v="15"/>
    <s v="East"/>
    <x v="1"/>
    <x v="2"/>
    <x v="7"/>
    <n v="7112"/>
    <n v="3"/>
    <n v="21336"/>
    <s v="E-commerce"/>
  </r>
  <r>
    <x v="2"/>
    <x v="16"/>
    <s v="East"/>
    <x v="0"/>
    <x v="0"/>
    <x v="0"/>
    <n v="11030"/>
    <n v="10"/>
    <n v="110300"/>
    <s v="Retail"/>
  </r>
  <r>
    <x v="2"/>
    <x v="16"/>
    <s v="East"/>
    <x v="0"/>
    <x v="0"/>
    <x v="1"/>
    <n v="6423"/>
    <n v="20"/>
    <n v="128460"/>
    <s v="Wholesale"/>
  </r>
  <r>
    <x v="2"/>
    <x v="16"/>
    <s v="East"/>
    <x v="0"/>
    <x v="0"/>
    <x v="2"/>
    <n v="13744"/>
    <n v="30"/>
    <n v="412320"/>
    <s v="Wholesale"/>
  </r>
  <r>
    <x v="2"/>
    <x v="16"/>
    <s v="East"/>
    <x v="0"/>
    <x v="0"/>
    <x v="3"/>
    <n v="5309"/>
    <n v="15"/>
    <n v="79635"/>
    <s v="E-commerce"/>
  </r>
  <r>
    <x v="2"/>
    <x v="16"/>
    <s v="East"/>
    <x v="1"/>
    <x v="1"/>
    <x v="4"/>
    <n v="13879"/>
    <n v="2"/>
    <n v="27758"/>
    <s v="Retail"/>
  </r>
  <r>
    <x v="2"/>
    <x v="16"/>
    <s v="East"/>
    <x v="1"/>
    <x v="1"/>
    <x v="5"/>
    <n v="6143"/>
    <n v="2"/>
    <n v="12286"/>
    <s v="Retail"/>
  </r>
  <r>
    <x v="2"/>
    <x v="16"/>
    <s v="East"/>
    <x v="1"/>
    <x v="1"/>
    <x v="6"/>
    <n v="10215"/>
    <n v="5"/>
    <n v="51075"/>
    <s v="E-commerce"/>
  </r>
  <r>
    <x v="2"/>
    <x v="16"/>
    <s v="East"/>
    <x v="1"/>
    <x v="2"/>
    <x v="7"/>
    <n v="10251"/>
    <n v="3"/>
    <n v="30753"/>
    <s v="E-commerce"/>
  </r>
  <r>
    <x v="2"/>
    <x v="17"/>
    <s v="West"/>
    <x v="0"/>
    <x v="0"/>
    <x v="0"/>
    <n v="14555"/>
    <n v="10"/>
    <n v="145550"/>
    <s v="Retail"/>
  </r>
  <r>
    <x v="2"/>
    <x v="17"/>
    <s v="West"/>
    <x v="0"/>
    <x v="0"/>
    <x v="1"/>
    <n v="7799"/>
    <n v="20"/>
    <n v="155980"/>
    <s v="E-commerce"/>
  </r>
  <r>
    <x v="2"/>
    <x v="17"/>
    <s v="West"/>
    <x v="0"/>
    <x v="0"/>
    <x v="2"/>
    <n v="7038"/>
    <n v="30"/>
    <n v="211140"/>
    <s v="Retail"/>
  </r>
  <r>
    <x v="2"/>
    <x v="17"/>
    <s v="West"/>
    <x v="0"/>
    <x v="0"/>
    <x v="3"/>
    <n v="9382"/>
    <n v="15"/>
    <n v="140730"/>
    <s v="E-commerce"/>
  </r>
  <r>
    <x v="2"/>
    <x v="17"/>
    <s v="West"/>
    <x v="1"/>
    <x v="1"/>
    <x v="4"/>
    <n v="9980"/>
    <n v="2"/>
    <n v="19960"/>
    <s v="E-commerce"/>
  </r>
  <r>
    <x v="2"/>
    <x v="17"/>
    <s v="West"/>
    <x v="1"/>
    <x v="1"/>
    <x v="5"/>
    <n v="13675"/>
    <n v="2"/>
    <n v="27350"/>
    <s v="Wholesale"/>
  </r>
  <r>
    <x v="2"/>
    <x v="17"/>
    <s v="West"/>
    <x v="1"/>
    <x v="1"/>
    <x v="6"/>
    <n v="14567"/>
    <n v="5"/>
    <n v="72835"/>
    <s v="Wholesale"/>
  </r>
  <r>
    <x v="2"/>
    <x v="17"/>
    <s v="West"/>
    <x v="1"/>
    <x v="2"/>
    <x v="7"/>
    <n v="12375"/>
    <n v="3"/>
    <n v="37125"/>
    <s v="Retail"/>
  </r>
  <r>
    <x v="2"/>
    <x v="18"/>
    <s v="West"/>
    <x v="0"/>
    <x v="0"/>
    <x v="0"/>
    <n v="14076"/>
    <n v="10"/>
    <n v="140760"/>
    <s v="E-commerce"/>
  </r>
  <r>
    <x v="2"/>
    <x v="18"/>
    <s v="West"/>
    <x v="0"/>
    <x v="0"/>
    <x v="1"/>
    <n v="8389"/>
    <n v="20"/>
    <n v="167780"/>
    <s v="E-commerce"/>
  </r>
  <r>
    <x v="2"/>
    <x v="18"/>
    <s v="West"/>
    <x v="0"/>
    <x v="0"/>
    <x v="2"/>
    <n v="13853"/>
    <n v="30"/>
    <n v="415590"/>
    <s v="Wholesale"/>
  </r>
  <r>
    <x v="2"/>
    <x v="18"/>
    <s v="West"/>
    <x v="0"/>
    <x v="0"/>
    <x v="3"/>
    <n v="13978"/>
    <n v="15"/>
    <n v="209670"/>
    <s v="Wholesale"/>
  </r>
  <r>
    <x v="2"/>
    <x v="18"/>
    <s v="West"/>
    <x v="1"/>
    <x v="1"/>
    <x v="4"/>
    <n v="13955"/>
    <n v="2"/>
    <n v="27910"/>
    <s v="E-commerce"/>
  </r>
  <r>
    <x v="2"/>
    <x v="18"/>
    <s v="West"/>
    <x v="1"/>
    <x v="1"/>
    <x v="5"/>
    <n v="12529"/>
    <n v="2"/>
    <n v="25058"/>
    <s v="E-commerce"/>
  </r>
  <r>
    <x v="2"/>
    <x v="18"/>
    <s v="West"/>
    <x v="1"/>
    <x v="1"/>
    <x v="6"/>
    <n v="12191"/>
    <n v="5"/>
    <n v="60955"/>
    <s v="E-commerce"/>
  </r>
  <r>
    <x v="2"/>
    <x v="18"/>
    <s v="West"/>
    <x v="1"/>
    <x v="2"/>
    <x v="7"/>
    <n v="7703"/>
    <n v="3"/>
    <n v="23109"/>
    <s v="Wholesale"/>
  </r>
  <r>
    <x v="2"/>
    <x v="19"/>
    <s v="West"/>
    <x v="0"/>
    <x v="0"/>
    <x v="0"/>
    <n v="10922"/>
    <n v="10"/>
    <n v="109220"/>
    <s v="E-commerce"/>
  </r>
  <r>
    <x v="2"/>
    <x v="19"/>
    <s v="West"/>
    <x v="0"/>
    <x v="0"/>
    <x v="1"/>
    <n v="7283"/>
    <n v="20"/>
    <n v="145660"/>
    <s v="Wholesale"/>
  </r>
  <r>
    <x v="2"/>
    <x v="19"/>
    <s v="West"/>
    <x v="0"/>
    <x v="0"/>
    <x v="2"/>
    <n v="6741"/>
    <n v="30"/>
    <n v="202230"/>
    <s v="Wholesale"/>
  </r>
  <r>
    <x v="2"/>
    <x v="19"/>
    <s v="West"/>
    <x v="0"/>
    <x v="0"/>
    <x v="3"/>
    <n v="14985"/>
    <n v="15"/>
    <n v="224775"/>
    <s v="Wholesale"/>
  </r>
  <r>
    <x v="2"/>
    <x v="19"/>
    <s v="West"/>
    <x v="1"/>
    <x v="1"/>
    <x v="4"/>
    <n v="11207"/>
    <n v="2"/>
    <n v="22414"/>
    <s v="Retail"/>
  </r>
  <r>
    <x v="2"/>
    <x v="19"/>
    <s v="West"/>
    <x v="1"/>
    <x v="1"/>
    <x v="5"/>
    <n v="6310"/>
    <n v="2"/>
    <n v="12620"/>
    <s v="Retail"/>
  </r>
  <r>
    <x v="2"/>
    <x v="19"/>
    <s v="West"/>
    <x v="1"/>
    <x v="1"/>
    <x v="6"/>
    <n v="10802"/>
    <n v="5"/>
    <n v="54010"/>
    <s v="Wholesale"/>
  </r>
  <r>
    <x v="2"/>
    <x v="19"/>
    <s v="West"/>
    <x v="1"/>
    <x v="2"/>
    <x v="7"/>
    <n v="10645"/>
    <n v="3"/>
    <n v="31935"/>
    <s v="Wholesale"/>
  </r>
  <r>
    <x v="2"/>
    <x v="20"/>
    <s v="West"/>
    <x v="0"/>
    <x v="0"/>
    <x v="0"/>
    <n v="12967"/>
    <n v="10"/>
    <n v="129670"/>
    <s v="Wholesale"/>
  </r>
  <r>
    <x v="2"/>
    <x v="20"/>
    <s v="West"/>
    <x v="0"/>
    <x v="0"/>
    <x v="1"/>
    <n v="12260"/>
    <n v="20"/>
    <n v="245200"/>
    <s v="E-commerce"/>
  </r>
  <r>
    <x v="2"/>
    <x v="20"/>
    <s v="West"/>
    <x v="0"/>
    <x v="0"/>
    <x v="2"/>
    <n v="13172"/>
    <n v="30"/>
    <n v="395160"/>
    <s v="Retail"/>
  </r>
  <r>
    <x v="2"/>
    <x v="20"/>
    <s v="West"/>
    <x v="0"/>
    <x v="0"/>
    <x v="3"/>
    <n v="10655"/>
    <n v="15"/>
    <n v="159825"/>
    <s v="Wholesale"/>
  </r>
  <r>
    <x v="2"/>
    <x v="20"/>
    <s v="West"/>
    <x v="1"/>
    <x v="1"/>
    <x v="4"/>
    <n v="10220"/>
    <n v="2"/>
    <n v="20440"/>
    <s v="Retail"/>
  </r>
  <r>
    <x v="2"/>
    <x v="20"/>
    <s v="West"/>
    <x v="1"/>
    <x v="1"/>
    <x v="5"/>
    <n v="14446"/>
    <n v="2"/>
    <n v="28892"/>
    <s v="Retail"/>
  </r>
  <r>
    <x v="2"/>
    <x v="20"/>
    <s v="West"/>
    <x v="1"/>
    <x v="1"/>
    <x v="6"/>
    <n v="6166"/>
    <n v="5"/>
    <n v="30830"/>
    <s v="Retail"/>
  </r>
  <r>
    <x v="2"/>
    <x v="20"/>
    <s v="West"/>
    <x v="1"/>
    <x v="2"/>
    <x v="7"/>
    <n v="9959"/>
    <n v="3"/>
    <n v="29877"/>
    <s v="Retail"/>
  </r>
  <r>
    <x v="2"/>
    <x v="21"/>
    <s v="West"/>
    <x v="0"/>
    <x v="0"/>
    <x v="0"/>
    <n v="10579"/>
    <n v="10"/>
    <n v="105790"/>
    <s v="Retail"/>
  </r>
  <r>
    <x v="2"/>
    <x v="21"/>
    <s v="West"/>
    <x v="0"/>
    <x v="0"/>
    <x v="1"/>
    <n v="13241"/>
    <n v="20"/>
    <n v="264820"/>
    <s v="E-commerce"/>
  </r>
  <r>
    <x v="2"/>
    <x v="21"/>
    <s v="West"/>
    <x v="0"/>
    <x v="0"/>
    <x v="2"/>
    <n v="13946"/>
    <n v="30"/>
    <n v="418380"/>
    <s v="Retail"/>
  </r>
  <r>
    <x v="2"/>
    <x v="21"/>
    <s v="West"/>
    <x v="0"/>
    <x v="0"/>
    <x v="3"/>
    <n v="13075"/>
    <n v="15"/>
    <n v="196125"/>
    <s v="Retail"/>
  </r>
  <r>
    <x v="2"/>
    <x v="21"/>
    <s v="West"/>
    <x v="1"/>
    <x v="1"/>
    <x v="4"/>
    <n v="8118"/>
    <n v="2"/>
    <n v="16236"/>
    <s v="E-commerce"/>
  </r>
  <r>
    <x v="2"/>
    <x v="21"/>
    <s v="West"/>
    <x v="1"/>
    <x v="1"/>
    <x v="5"/>
    <n v="12614"/>
    <n v="2"/>
    <n v="25228"/>
    <s v="Retail"/>
  </r>
  <r>
    <x v="2"/>
    <x v="21"/>
    <s v="West"/>
    <x v="1"/>
    <x v="1"/>
    <x v="6"/>
    <n v="11613"/>
    <n v="5"/>
    <n v="58065"/>
    <s v="Wholesale"/>
  </r>
  <r>
    <x v="2"/>
    <x v="21"/>
    <s v="West"/>
    <x v="1"/>
    <x v="2"/>
    <x v="7"/>
    <n v="10546"/>
    <n v="3"/>
    <n v="31638"/>
    <s v="Retail"/>
  </r>
  <r>
    <x v="3"/>
    <x v="0"/>
    <s v="North"/>
    <x v="0"/>
    <x v="0"/>
    <x v="0"/>
    <n v="8582"/>
    <n v="10"/>
    <n v="85820"/>
    <s v="E-commerce"/>
  </r>
  <r>
    <x v="3"/>
    <x v="0"/>
    <s v="North"/>
    <x v="0"/>
    <x v="0"/>
    <x v="1"/>
    <n v="7337"/>
    <n v="20"/>
    <n v="146740"/>
    <s v="E-commerce"/>
  </r>
  <r>
    <x v="3"/>
    <x v="0"/>
    <s v="North"/>
    <x v="0"/>
    <x v="0"/>
    <x v="2"/>
    <n v="11987"/>
    <n v="30"/>
    <n v="359610"/>
    <s v="E-commerce"/>
  </r>
  <r>
    <x v="3"/>
    <x v="0"/>
    <s v="North"/>
    <x v="0"/>
    <x v="0"/>
    <x v="3"/>
    <n v="13109"/>
    <n v="15"/>
    <n v="196635"/>
    <s v="Wholesale"/>
  </r>
  <r>
    <x v="3"/>
    <x v="0"/>
    <s v="North"/>
    <x v="1"/>
    <x v="1"/>
    <x v="4"/>
    <n v="7509"/>
    <n v="2"/>
    <n v="15018"/>
    <s v="E-commerce"/>
  </r>
  <r>
    <x v="3"/>
    <x v="0"/>
    <s v="North"/>
    <x v="1"/>
    <x v="1"/>
    <x v="5"/>
    <n v="11439"/>
    <n v="2"/>
    <n v="22878"/>
    <s v="Retail"/>
  </r>
  <r>
    <x v="3"/>
    <x v="0"/>
    <s v="North"/>
    <x v="1"/>
    <x v="1"/>
    <x v="6"/>
    <n v="5247"/>
    <n v="5"/>
    <n v="26235"/>
    <s v="Retail"/>
  </r>
  <r>
    <x v="3"/>
    <x v="0"/>
    <s v="North"/>
    <x v="1"/>
    <x v="2"/>
    <x v="7"/>
    <n v="9708"/>
    <n v="3"/>
    <n v="29124"/>
    <s v="E-commerce"/>
  </r>
  <r>
    <x v="3"/>
    <x v="1"/>
    <s v="North"/>
    <x v="0"/>
    <x v="0"/>
    <x v="0"/>
    <n v="7314"/>
    <n v="10"/>
    <n v="73140"/>
    <s v="Wholesale"/>
  </r>
  <r>
    <x v="3"/>
    <x v="1"/>
    <s v="North"/>
    <x v="0"/>
    <x v="0"/>
    <x v="1"/>
    <n v="13578"/>
    <n v="20"/>
    <n v="271560"/>
    <s v="Wholesale"/>
  </r>
  <r>
    <x v="3"/>
    <x v="1"/>
    <s v="North"/>
    <x v="0"/>
    <x v="0"/>
    <x v="2"/>
    <n v="10433"/>
    <n v="30"/>
    <n v="312990"/>
    <s v="Wholesale"/>
  </r>
  <r>
    <x v="3"/>
    <x v="1"/>
    <s v="North"/>
    <x v="0"/>
    <x v="0"/>
    <x v="3"/>
    <n v="10674"/>
    <n v="15"/>
    <n v="160110"/>
    <s v="Retail"/>
  </r>
  <r>
    <x v="3"/>
    <x v="1"/>
    <s v="North"/>
    <x v="1"/>
    <x v="1"/>
    <x v="4"/>
    <n v="11803"/>
    <n v="2"/>
    <n v="23606"/>
    <s v="E-commerce"/>
  </r>
  <r>
    <x v="3"/>
    <x v="1"/>
    <s v="North"/>
    <x v="1"/>
    <x v="1"/>
    <x v="5"/>
    <n v="5368"/>
    <n v="2"/>
    <n v="10736"/>
    <s v="Retail"/>
  </r>
  <r>
    <x v="3"/>
    <x v="1"/>
    <s v="North"/>
    <x v="1"/>
    <x v="1"/>
    <x v="6"/>
    <n v="12855"/>
    <n v="5"/>
    <n v="64275"/>
    <s v="Retail"/>
  </r>
  <r>
    <x v="3"/>
    <x v="1"/>
    <s v="North"/>
    <x v="1"/>
    <x v="2"/>
    <x v="7"/>
    <n v="11842"/>
    <n v="3"/>
    <n v="35526"/>
    <s v="E-commerce"/>
  </r>
  <r>
    <x v="3"/>
    <x v="2"/>
    <s v="North"/>
    <x v="0"/>
    <x v="0"/>
    <x v="0"/>
    <n v="6412"/>
    <n v="10"/>
    <n v="64120"/>
    <s v="Wholesale"/>
  </r>
  <r>
    <x v="3"/>
    <x v="2"/>
    <s v="North"/>
    <x v="0"/>
    <x v="0"/>
    <x v="1"/>
    <n v="14987"/>
    <n v="20"/>
    <n v="299740"/>
    <s v="E-commerce"/>
  </r>
  <r>
    <x v="3"/>
    <x v="2"/>
    <s v="North"/>
    <x v="0"/>
    <x v="0"/>
    <x v="2"/>
    <n v="11268"/>
    <n v="30"/>
    <n v="338040"/>
    <s v="E-commerce"/>
  </r>
  <r>
    <x v="3"/>
    <x v="2"/>
    <s v="North"/>
    <x v="0"/>
    <x v="0"/>
    <x v="3"/>
    <n v="8847"/>
    <n v="15"/>
    <n v="132705"/>
    <s v="Wholesale"/>
  </r>
  <r>
    <x v="3"/>
    <x v="2"/>
    <s v="North"/>
    <x v="1"/>
    <x v="1"/>
    <x v="4"/>
    <n v="8925"/>
    <n v="2"/>
    <n v="17850"/>
    <s v="E-commerce"/>
  </r>
  <r>
    <x v="3"/>
    <x v="2"/>
    <s v="North"/>
    <x v="1"/>
    <x v="1"/>
    <x v="5"/>
    <n v="13164"/>
    <n v="2"/>
    <n v="26328"/>
    <s v="E-commerce"/>
  </r>
  <r>
    <x v="3"/>
    <x v="2"/>
    <s v="North"/>
    <x v="1"/>
    <x v="1"/>
    <x v="6"/>
    <n v="13152"/>
    <n v="5"/>
    <n v="65760"/>
    <s v="Wholesale"/>
  </r>
  <r>
    <x v="3"/>
    <x v="2"/>
    <s v="North"/>
    <x v="1"/>
    <x v="2"/>
    <x v="7"/>
    <n v="7770"/>
    <n v="3"/>
    <n v="23310"/>
    <s v="Retail"/>
  </r>
  <r>
    <x v="3"/>
    <x v="3"/>
    <s v="North"/>
    <x v="0"/>
    <x v="0"/>
    <x v="0"/>
    <n v="12256"/>
    <n v="10"/>
    <n v="122560"/>
    <s v="E-commerce"/>
  </r>
  <r>
    <x v="3"/>
    <x v="3"/>
    <s v="North"/>
    <x v="0"/>
    <x v="0"/>
    <x v="1"/>
    <n v="14085"/>
    <n v="20"/>
    <n v="281700"/>
    <s v="E-commerce"/>
  </r>
  <r>
    <x v="3"/>
    <x v="3"/>
    <s v="North"/>
    <x v="0"/>
    <x v="0"/>
    <x v="2"/>
    <n v="6910"/>
    <n v="30"/>
    <n v="207300"/>
    <s v="Wholesale"/>
  </r>
  <r>
    <x v="3"/>
    <x v="3"/>
    <s v="North"/>
    <x v="0"/>
    <x v="0"/>
    <x v="3"/>
    <n v="14759"/>
    <n v="15"/>
    <n v="221385"/>
    <s v="Retail"/>
  </r>
  <r>
    <x v="3"/>
    <x v="3"/>
    <s v="North"/>
    <x v="1"/>
    <x v="1"/>
    <x v="4"/>
    <n v="5456"/>
    <n v="2"/>
    <n v="10912"/>
    <s v="Wholesale"/>
  </r>
  <r>
    <x v="3"/>
    <x v="3"/>
    <s v="North"/>
    <x v="1"/>
    <x v="1"/>
    <x v="5"/>
    <n v="12508"/>
    <n v="2"/>
    <n v="25016"/>
    <s v="Wholesale"/>
  </r>
  <r>
    <x v="3"/>
    <x v="3"/>
    <s v="North"/>
    <x v="1"/>
    <x v="1"/>
    <x v="6"/>
    <n v="8361"/>
    <n v="5"/>
    <n v="41805"/>
    <s v="E-commerce"/>
  </r>
  <r>
    <x v="3"/>
    <x v="3"/>
    <s v="North"/>
    <x v="1"/>
    <x v="2"/>
    <x v="7"/>
    <n v="11910"/>
    <n v="3"/>
    <n v="35730"/>
    <s v="E-commerce"/>
  </r>
  <r>
    <x v="3"/>
    <x v="4"/>
    <s v="North"/>
    <x v="0"/>
    <x v="0"/>
    <x v="0"/>
    <n v="5250"/>
    <n v="10"/>
    <n v="52500"/>
    <s v="Wholesale"/>
  </r>
  <r>
    <x v="3"/>
    <x v="4"/>
    <s v="North"/>
    <x v="0"/>
    <x v="0"/>
    <x v="1"/>
    <n v="13764"/>
    <n v="20"/>
    <n v="275280"/>
    <s v="Retail"/>
  </r>
  <r>
    <x v="3"/>
    <x v="4"/>
    <s v="North"/>
    <x v="0"/>
    <x v="0"/>
    <x v="2"/>
    <n v="7623"/>
    <n v="30"/>
    <n v="228690"/>
    <s v="Wholesale"/>
  </r>
  <r>
    <x v="3"/>
    <x v="4"/>
    <s v="North"/>
    <x v="0"/>
    <x v="0"/>
    <x v="3"/>
    <n v="8795"/>
    <n v="15"/>
    <n v="131925"/>
    <s v="Wholesale"/>
  </r>
  <r>
    <x v="3"/>
    <x v="4"/>
    <s v="North"/>
    <x v="1"/>
    <x v="1"/>
    <x v="4"/>
    <n v="8207"/>
    <n v="2"/>
    <n v="16414"/>
    <s v="E-commerce"/>
  </r>
  <r>
    <x v="3"/>
    <x v="4"/>
    <s v="North"/>
    <x v="1"/>
    <x v="1"/>
    <x v="5"/>
    <n v="11022"/>
    <n v="2"/>
    <n v="22044"/>
    <s v="E-commerce"/>
  </r>
  <r>
    <x v="3"/>
    <x v="4"/>
    <s v="North"/>
    <x v="1"/>
    <x v="1"/>
    <x v="6"/>
    <n v="14378"/>
    <n v="5"/>
    <n v="71890"/>
    <s v="Retail"/>
  </r>
  <r>
    <x v="3"/>
    <x v="4"/>
    <s v="North"/>
    <x v="1"/>
    <x v="2"/>
    <x v="7"/>
    <n v="9147"/>
    <n v="3"/>
    <n v="27441"/>
    <s v="Retail"/>
  </r>
  <r>
    <x v="3"/>
    <x v="5"/>
    <s v="North"/>
    <x v="0"/>
    <x v="0"/>
    <x v="0"/>
    <n v="7079"/>
    <n v="10"/>
    <n v="70790"/>
    <s v="E-commerce"/>
  </r>
  <r>
    <x v="3"/>
    <x v="5"/>
    <s v="North"/>
    <x v="0"/>
    <x v="0"/>
    <x v="1"/>
    <n v="12255"/>
    <n v="20"/>
    <n v="245100"/>
    <s v="E-commerce"/>
  </r>
  <r>
    <x v="3"/>
    <x v="5"/>
    <s v="North"/>
    <x v="0"/>
    <x v="0"/>
    <x v="2"/>
    <n v="8518"/>
    <n v="30"/>
    <n v="255540"/>
    <s v="E-commerce"/>
  </r>
  <r>
    <x v="3"/>
    <x v="5"/>
    <s v="North"/>
    <x v="0"/>
    <x v="0"/>
    <x v="3"/>
    <n v="6037"/>
    <n v="15"/>
    <n v="90555"/>
    <s v="E-commerce"/>
  </r>
  <r>
    <x v="3"/>
    <x v="5"/>
    <s v="North"/>
    <x v="1"/>
    <x v="1"/>
    <x v="4"/>
    <n v="14338"/>
    <n v="2"/>
    <n v="28676"/>
    <s v="E-commerce"/>
  </r>
  <r>
    <x v="3"/>
    <x v="5"/>
    <s v="North"/>
    <x v="1"/>
    <x v="1"/>
    <x v="5"/>
    <n v="9533"/>
    <n v="2"/>
    <n v="19066"/>
    <s v="E-commerce"/>
  </r>
  <r>
    <x v="3"/>
    <x v="5"/>
    <s v="North"/>
    <x v="1"/>
    <x v="1"/>
    <x v="6"/>
    <n v="8385"/>
    <n v="5"/>
    <n v="41925"/>
    <s v="Wholesale"/>
  </r>
  <r>
    <x v="3"/>
    <x v="5"/>
    <s v="North"/>
    <x v="1"/>
    <x v="2"/>
    <x v="7"/>
    <n v="12836"/>
    <n v="3"/>
    <n v="38508"/>
    <s v="E-commerce"/>
  </r>
  <r>
    <x v="3"/>
    <x v="6"/>
    <s v="North"/>
    <x v="0"/>
    <x v="0"/>
    <x v="0"/>
    <n v="10779"/>
    <n v="10"/>
    <n v="107790"/>
    <s v="Wholesale"/>
  </r>
  <r>
    <x v="3"/>
    <x v="6"/>
    <s v="North"/>
    <x v="0"/>
    <x v="0"/>
    <x v="1"/>
    <n v="7574"/>
    <n v="20"/>
    <n v="151480"/>
    <s v="E-commerce"/>
  </r>
  <r>
    <x v="3"/>
    <x v="6"/>
    <s v="North"/>
    <x v="0"/>
    <x v="0"/>
    <x v="2"/>
    <n v="6631"/>
    <n v="30"/>
    <n v="198930"/>
    <s v="Retail"/>
  </r>
  <r>
    <x v="3"/>
    <x v="6"/>
    <s v="North"/>
    <x v="0"/>
    <x v="0"/>
    <x v="3"/>
    <n v="14990"/>
    <n v="15"/>
    <n v="224850"/>
    <s v="Wholesale"/>
  </r>
  <r>
    <x v="3"/>
    <x v="6"/>
    <s v="North"/>
    <x v="1"/>
    <x v="1"/>
    <x v="4"/>
    <n v="10804"/>
    <n v="2"/>
    <n v="21608"/>
    <s v="Wholesale"/>
  </r>
  <r>
    <x v="3"/>
    <x v="6"/>
    <s v="North"/>
    <x v="1"/>
    <x v="1"/>
    <x v="5"/>
    <n v="7722"/>
    <n v="2"/>
    <n v="15444"/>
    <s v="Wholesale"/>
  </r>
  <r>
    <x v="3"/>
    <x v="6"/>
    <s v="North"/>
    <x v="1"/>
    <x v="1"/>
    <x v="6"/>
    <n v="7076"/>
    <n v="5"/>
    <n v="35380"/>
    <s v="Wholesale"/>
  </r>
  <r>
    <x v="3"/>
    <x v="6"/>
    <s v="North"/>
    <x v="1"/>
    <x v="2"/>
    <x v="7"/>
    <n v="14165"/>
    <n v="3"/>
    <n v="42495"/>
    <s v="E-commerce"/>
  </r>
  <r>
    <x v="3"/>
    <x v="7"/>
    <s v="South"/>
    <x v="0"/>
    <x v="0"/>
    <x v="0"/>
    <n v="13190"/>
    <n v="10"/>
    <n v="131900"/>
    <s v="E-commerce"/>
  </r>
  <r>
    <x v="3"/>
    <x v="7"/>
    <s v="South"/>
    <x v="0"/>
    <x v="0"/>
    <x v="1"/>
    <n v="5715"/>
    <n v="20"/>
    <n v="114300"/>
    <s v="E-commerce"/>
  </r>
  <r>
    <x v="3"/>
    <x v="7"/>
    <s v="South"/>
    <x v="0"/>
    <x v="0"/>
    <x v="2"/>
    <n v="11125"/>
    <n v="30"/>
    <n v="333750"/>
    <s v="Retail"/>
  </r>
  <r>
    <x v="3"/>
    <x v="7"/>
    <s v="South"/>
    <x v="0"/>
    <x v="0"/>
    <x v="3"/>
    <n v="12377"/>
    <n v="15"/>
    <n v="185655"/>
    <s v="Wholesale"/>
  </r>
  <r>
    <x v="3"/>
    <x v="7"/>
    <s v="South"/>
    <x v="1"/>
    <x v="1"/>
    <x v="4"/>
    <n v="12977"/>
    <n v="2"/>
    <n v="25954"/>
    <s v="Wholesale"/>
  </r>
  <r>
    <x v="3"/>
    <x v="7"/>
    <s v="South"/>
    <x v="1"/>
    <x v="1"/>
    <x v="5"/>
    <n v="8668"/>
    <n v="2"/>
    <n v="17336"/>
    <s v="Retail"/>
  </r>
  <r>
    <x v="3"/>
    <x v="7"/>
    <s v="South"/>
    <x v="1"/>
    <x v="1"/>
    <x v="6"/>
    <n v="10909"/>
    <n v="5"/>
    <n v="54545"/>
    <s v="Retail"/>
  </r>
  <r>
    <x v="3"/>
    <x v="7"/>
    <s v="South"/>
    <x v="1"/>
    <x v="2"/>
    <x v="7"/>
    <n v="9104"/>
    <n v="3"/>
    <n v="27312"/>
    <s v="Retail"/>
  </r>
  <r>
    <x v="3"/>
    <x v="8"/>
    <s v="South"/>
    <x v="0"/>
    <x v="0"/>
    <x v="0"/>
    <n v="7451"/>
    <n v="10"/>
    <n v="74510"/>
    <s v="Retail"/>
  </r>
  <r>
    <x v="3"/>
    <x v="8"/>
    <s v="South"/>
    <x v="0"/>
    <x v="0"/>
    <x v="1"/>
    <n v="5161"/>
    <n v="20"/>
    <n v="103220"/>
    <s v="Retail"/>
  </r>
  <r>
    <x v="3"/>
    <x v="8"/>
    <s v="South"/>
    <x v="0"/>
    <x v="0"/>
    <x v="2"/>
    <n v="10418"/>
    <n v="30"/>
    <n v="312540"/>
    <s v="Wholesale"/>
  </r>
  <r>
    <x v="3"/>
    <x v="8"/>
    <s v="South"/>
    <x v="0"/>
    <x v="0"/>
    <x v="3"/>
    <n v="14931"/>
    <n v="15"/>
    <n v="223965"/>
    <s v="Retail"/>
  </r>
  <r>
    <x v="3"/>
    <x v="8"/>
    <s v="South"/>
    <x v="1"/>
    <x v="1"/>
    <x v="4"/>
    <n v="7641"/>
    <n v="2"/>
    <n v="15282"/>
    <s v="Wholesale"/>
  </r>
  <r>
    <x v="3"/>
    <x v="8"/>
    <s v="South"/>
    <x v="1"/>
    <x v="1"/>
    <x v="5"/>
    <n v="8144"/>
    <n v="2"/>
    <n v="16288"/>
    <s v="E-commerce"/>
  </r>
  <r>
    <x v="3"/>
    <x v="8"/>
    <s v="South"/>
    <x v="1"/>
    <x v="1"/>
    <x v="6"/>
    <n v="14448"/>
    <n v="5"/>
    <n v="72240"/>
    <s v="E-commerce"/>
  </r>
  <r>
    <x v="3"/>
    <x v="8"/>
    <s v="South"/>
    <x v="1"/>
    <x v="2"/>
    <x v="7"/>
    <n v="10771"/>
    <n v="3"/>
    <n v="32313"/>
    <s v="Retail"/>
  </r>
  <r>
    <x v="3"/>
    <x v="9"/>
    <s v="South"/>
    <x v="0"/>
    <x v="0"/>
    <x v="0"/>
    <n v="6854"/>
    <n v="10"/>
    <n v="68540"/>
    <s v="Retail"/>
  </r>
  <r>
    <x v="3"/>
    <x v="9"/>
    <s v="South"/>
    <x v="0"/>
    <x v="0"/>
    <x v="1"/>
    <n v="6744"/>
    <n v="20"/>
    <n v="134880"/>
    <s v="E-commerce"/>
  </r>
  <r>
    <x v="3"/>
    <x v="9"/>
    <s v="South"/>
    <x v="0"/>
    <x v="0"/>
    <x v="2"/>
    <n v="13404"/>
    <n v="30"/>
    <n v="402120"/>
    <s v="Wholesale"/>
  </r>
  <r>
    <x v="3"/>
    <x v="9"/>
    <s v="South"/>
    <x v="0"/>
    <x v="0"/>
    <x v="3"/>
    <n v="8731"/>
    <n v="15"/>
    <n v="130965"/>
    <s v="E-commerce"/>
  </r>
  <r>
    <x v="3"/>
    <x v="9"/>
    <s v="South"/>
    <x v="1"/>
    <x v="1"/>
    <x v="4"/>
    <n v="8505"/>
    <n v="2"/>
    <n v="17010"/>
    <s v="E-commerce"/>
  </r>
  <r>
    <x v="3"/>
    <x v="9"/>
    <s v="South"/>
    <x v="1"/>
    <x v="1"/>
    <x v="5"/>
    <n v="12636"/>
    <n v="2"/>
    <n v="25272"/>
    <s v="Wholesale"/>
  </r>
  <r>
    <x v="3"/>
    <x v="9"/>
    <s v="South"/>
    <x v="1"/>
    <x v="1"/>
    <x v="6"/>
    <n v="6381"/>
    <n v="5"/>
    <n v="31905"/>
    <s v="E-commerce"/>
  </r>
  <r>
    <x v="3"/>
    <x v="9"/>
    <s v="South"/>
    <x v="1"/>
    <x v="2"/>
    <x v="7"/>
    <n v="12333"/>
    <n v="3"/>
    <n v="36999"/>
    <s v="Retail"/>
  </r>
  <r>
    <x v="3"/>
    <x v="10"/>
    <s v="South"/>
    <x v="0"/>
    <x v="0"/>
    <x v="0"/>
    <n v="10823"/>
    <n v="10"/>
    <n v="108230"/>
    <s v="Retail"/>
  </r>
  <r>
    <x v="3"/>
    <x v="10"/>
    <s v="South"/>
    <x v="0"/>
    <x v="0"/>
    <x v="1"/>
    <n v="13994"/>
    <n v="20"/>
    <n v="279880"/>
    <s v="Wholesale"/>
  </r>
  <r>
    <x v="3"/>
    <x v="10"/>
    <s v="South"/>
    <x v="0"/>
    <x v="0"/>
    <x v="2"/>
    <n v="10147"/>
    <n v="30"/>
    <n v="304410"/>
    <s v="Retail"/>
  </r>
  <r>
    <x v="3"/>
    <x v="10"/>
    <s v="South"/>
    <x v="0"/>
    <x v="0"/>
    <x v="3"/>
    <n v="10947"/>
    <n v="15"/>
    <n v="164205"/>
    <s v="Retail"/>
  </r>
  <r>
    <x v="3"/>
    <x v="10"/>
    <s v="South"/>
    <x v="1"/>
    <x v="1"/>
    <x v="4"/>
    <n v="6886"/>
    <n v="2"/>
    <n v="13772"/>
    <s v="Wholesale"/>
  </r>
  <r>
    <x v="3"/>
    <x v="10"/>
    <s v="South"/>
    <x v="1"/>
    <x v="1"/>
    <x v="5"/>
    <n v="8878"/>
    <n v="2"/>
    <n v="17756"/>
    <s v="Retail"/>
  </r>
  <r>
    <x v="3"/>
    <x v="10"/>
    <s v="South"/>
    <x v="1"/>
    <x v="1"/>
    <x v="6"/>
    <n v="6182"/>
    <n v="5"/>
    <n v="30910"/>
    <s v="Wholesale"/>
  </r>
  <r>
    <x v="3"/>
    <x v="10"/>
    <s v="South"/>
    <x v="1"/>
    <x v="2"/>
    <x v="7"/>
    <n v="8594"/>
    <n v="3"/>
    <n v="25782"/>
    <s v="Retail"/>
  </r>
  <r>
    <x v="3"/>
    <x v="11"/>
    <s v="South"/>
    <x v="0"/>
    <x v="0"/>
    <x v="0"/>
    <n v="6065"/>
    <n v="10"/>
    <n v="60650"/>
    <s v="Wholesale"/>
  </r>
  <r>
    <x v="3"/>
    <x v="11"/>
    <s v="South"/>
    <x v="0"/>
    <x v="0"/>
    <x v="1"/>
    <n v="7353"/>
    <n v="20"/>
    <n v="147060"/>
    <s v="Retail"/>
  </r>
  <r>
    <x v="3"/>
    <x v="11"/>
    <s v="South"/>
    <x v="0"/>
    <x v="0"/>
    <x v="2"/>
    <n v="10199"/>
    <n v="30"/>
    <n v="305970"/>
    <s v="Wholesale"/>
  </r>
  <r>
    <x v="3"/>
    <x v="11"/>
    <s v="South"/>
    <x v="0"/>
    <x v="0"/>
    <x v="3"/>
    <n v="11433"/>
    <n v="15"/>
    <n v="171495"/>
    <s v="Retail"/>
  </r>
  <r>
    <x v="3"/>
    <x v="11"/>
    <s v="South"/>
    <x v="1"/>
    <x v="1"/>
    <x v="4"/>
    <n v="10641"/>
    <n v="2"/>
    <n v="21282"/>
    <s v="Wholesale"/>
  </r>
  <r>
    <x v="3"/>
    <x v="11"/>
    <s v="South"/>
    <x v="1"/>
    <x v="1"/>
    <x v="5"/>
    <n v="7912"/>
    <n v="2"/>
    <n v="15824"/>
    <s v="Retail"/>
  </r>
  <r>
    <x v="3"/>
    <x v="11"/>
    <s v="South"/>
    <x v="1"/>
    <x v="1"/>
    <x v="6"/>
    <n v="10596"/>
    <n v="5"/>
    <n v="52980"/>
    <s v="E-commerce"/>
  </r>
  <r>
    <x v="3"/>
    <x v="11"/>
    <s v="South"/>
    <x v="1"/>
    <x v="2"/>
    <x v="7"/>
    <n v="9846"/>
    <n v="3"/>
    <n v="29538"/>
    <s v="E-commerce"/>
  </r>
  <r>
    <x v="3"/>
    <x v="12"/>
    <s v="East"/>
    <x v="0"/>
    <x v="0"/>
    <x v="0"/>
    <n v="9869"/>
    <n v="10"/>
    <n v="98690"/>
    <s v="E-commerce"/>
  </r>
  <r>
    <x v="3"/>
    <x v="12"/>
    <s v="East"/>
    <x v="0"/>
    <x v="0"/>
    <x v="1"/>
    <n v="9924"/>
    <n v="20"/>
    <n v="198480"/>
    <s v="Wholesale"/>
  </r>
  <r>
    <x v="3"/>
    <x v="12"/>
    <s v="East"/>
    <x v="0"/>
    <x v="0"/>
    <x v="2"/>
    <n v="7354"/>
    <n v="30"/>
    <n v="220620"/>
    <s v="Retail"/>
  </r>
  <r>
    <x v="3"/>
    <x v="12"/>
    <s v="East"/>
    <x v="0"/>
    <x v="0"/>
    <x v="3"/>
    <n v="10650"/>
    <n v="15"/>
    <n v="159750"/>
    <s v="Retail"/>
  </r>
  <r>
    <x v="3"/>
    <x v="12"/>
    <s v="East"/>
    <x v="1"/>
    <x v="1"/>
    <x v="4"/>
    <n v="11634"/>
    <n v="2"/>
    <n v="23268"/>
    <s v="E-commerce"/>
  </r>
  <r>
    <x v="3"/>
    <x v="12"/>
    <s v="East"/>
    <x v="1"/>
    <x v="1"/>
    <x v="5"/>
    <n v="12471"/>
    <n v="2"/>
    <n v="24942"/>
    <s v="Wholesale"/>
  </r>
  <r>
    <x v="3"/>
    <x v="12"/>
    <s v="East"/>
    <x v="1"/>
    <x v="1"/>
    <x v="6"/>
    <n v="9420"/>
    <n v="5"/>
    <n v="47100"/>
    <s v="Wholesale"/>
  </r>
  <r>
    <x v="3"/>
    <x v="12"/>
    <s v="East"/>
    <x v="1"/>
    <x v="2"/>
    <x v="7"/>
    <n v="8419"/>
    <n v="3"/>
    <n v="25257"/>
    <s v="Retail"/>
  </r>
  <r>
    <x v="3"/>
    <x v="13"/>
    <s v="East"/>
    <x v="0"/>
    <x v="0"/>
    <x v="0"/>
    <n v="6143"/>
    <n v="10"/>
    <n v="61430"/>
    <s v="Wholesale"/>
  </r>
  <r>
    <x v="3"/>
    <x v="13"/>
    <s v="East"/>
    <x v="0"/>
    <x v="0"/>
    <x v="1"/>
    <n v="6528"/>
    <n v="20"/>
    <n v="130560"/>
    <s v="Wholesale"/>
  </r>
  <r>
    <x v="3"/>
    <x v="13"/>
    <s v="East"/>
    <x v="0"/>
    <x v="0"/>
    <x v="2"/>
    <n v="7956"/>
    <n v="30"/>
    <n v="238680"/>
    <s v="E-commerce"/>
  </r>
  <r>
    <x v="3"/>
    <x v="13"/>
    <s v="East"/>
    <x v="0"/>
    <x v="0"/>
    <x v="3"/>
    <n v="13160"/>
    <n v="15"/>
    <n v="197400"/>
    <s v="Wholesale"/>
  </r>
  <r>
    <x v="3"/>
    <x v="13"/>
    <s v="East"/>
    <x v="1"/>
    <x v="1"/>
    <x v="4"/>
    <n v="7691"/>
    <n v="2"/>
    <n v="15382"/>
    <s v="Wholesale"/>
  </r>
  <r>
    <x v="3"/>
    <x v="13"/>
    <s v="East"/>
    <x v="1"/>
    <x v="1"/>
    <x v="5"/>
    <n v="7508"/>
    <n v="2"/>
    <n v="15016"/>
    <s v="Wholesale"/>
  </r>
  <r>
    <x v="3"/>
    <x v="13"/>
    <s v="East"/>
    <x v="1"/>
    <x v="1"/>
    <x v="6"/>
    <n v="7172"/>
    <n v="5"/>
    <n v="35860"/>
    <s v="Wholesale"/>
  </r>
  <r>
    <x v="3"/>
    <x v="13"/>
    <s v="East"/>
    <x v="1"/>
    <x v="2"/>
    <x v="7"/>
    <n v="7427"/>
    <n v="3"/>
    <n v="22281"/>
    <s v="Retail"/>
  </r>
  <r>
    <x v="3"/>
    <x v="14"/>
    <s v="East"/>
    <x v="0"/>
    <x v="0"/>
    <x v="0"/>
    <n v="13521"/>
    <n v="10"/>
    <n v="135210"/>
    <s v="Wholesale"/>
  </r>
  <r>
    <x v="3"/>
    <x v="14"/>
    <s v="East"/>
    <x v="0"/>
    <x v="0"/>
    <x v="1"/>
    <n v="12992"/>
    <n v="20"/>
    <n v="259840"/>
    <s v="E-commerce"/>
  </r>
  <r>
    <x v="3"/>
    <x v="14"/>
    <s v="East"/>
    <x v="0"/>
    <x v="0"/>
    <x v="2"/>
    <n v="10205"/>
    <n v="30"/>
    <n v="306150"/>
    <s v="Retail"/>
  </r>
  <r>
    <x v="3"/>
    <x v="14"/>
    <s v="East"/>
    <x v="0"/>
    <x v="0"/>
    <x v="3"/>
    <n v="10710"/>
    <n v="15"/>
    <n v="160650"/>
    <s v="E-commerce"/>
  </r>
  <r>
    <x v="3"/>
    <x v="14"/>
    <s v="East"/>
    <x v="1"/>
    <x v="1"/>
    <x v="4"/>
    <n v="11230"/>
    <n v="2"/>
    <n v="22460"/>
    <s v="Retail"/>
  </r>
  <r>
    <x v="3"/>
    <x v="14"/>
    <s v="East"/>
    <x v="1"/>
    <x v="1"/>
    <x v="5"/>
    <n v="5361"/>
    <n v="2"/>
    <n v="10722"/>
    <s v="E-commerce"/>
  </r>
  <r>
    <x v="3"/>
    <x v="14"/>
    <s v="East"/>
    <x v="1"/>
    <x v="1"/>
    <x v="6"/>
    <n v="8307"/>
    <n v="5"/>
    <n v="41535"/>
    <s v="Wholesale"/>
  </r>
  <r>
    <x v="3"/>
    <x v="14"/>
    <s v="East"/>
    <x v="1"/>
    <x v="2"/>
    <x v="7"/>
    <n v="14425"/>
    <n v="3"/>
    <n v="43275"/>
    <s v="Wholesale"/>
  </r>
  <r>
    <x v="3"/>
    <x v="15"/>
    <s v="East"/>
    <x v="0"/>
    <x v="0"/>
    <x v="0"/>
    <n v="14060"/>
    <n v="10"/>
    <n v="140600"/>
    <s v="Wholesale"/>
  </r>
  <r>
    <x v="3"/>
    <x v="15"/>
    <s v="East"/>
    <x v="0"/>
    <x v="0"/>
    <x v="1"/>
    <n v="11384"/>
    <n v="20"/>
    <n v="227680"/>
    <s v="E-commerce"/>
  </r>
  <r>
    <x v="3"/>
    <x v="15"/>
    <s v="East"/>
    <x v="0"/>
    <x v="0"/>
    <x v="2"/>
    <n v="5480"/>
    <n v="30"/>
    <n v="164400"/>
    <s v="Retail"/>
  </r>
  <r>
    <x v="3"/>
    <x v="15"/>
    <s v="East"/>
    <x v="0"/>
    <x v="0"/>
    <x v="3"/>
    <n v="10371"/>
    <n v="15"/>
    <n v="155565"/>
    <s v="Wholesale"/>
  </r>
  <r>
    <x v="3"/>
    <x v="15"/>
    <s v="East"/>
    <x v="1"/>
    <x v="1"/>
    <x v="4"/>
    <n v="8871"/>
    <n v="2"/>
    <n v="17742"/>
    <s v="E-commerce"/>
  </r>
  <r>
    <x v="3"/>
    <x v="15"/>
    <s v="East"/>
    <x v="1"/>
    <x v="1"/>
    <x v="5"/>
    <n v="11261"/>
    <n v="2"/>
    <n v="22522"/>
    <s v="Wholesale"/>
  </r>
  <r>
    <x v="3"/>
    <x v="15"/>
    <s v="East"/>
    <x v="1"/>
    <x v="1"/>
    <x v="6"/>
    <n v="11523"/>
    <n v="5"/>
    <n v="57615"/>
    <s v="Wholesale"/>
  </r>
  <r>
    <x v="3"/>
    <x v="15"/>
    <s v="East"/>
    <x v="1"/>
    <x v="2"/>
    <x v="7"/>
    <n v="8504"/>
    <n v="3"/>
    <n v="25512"/>
    <s v="E-commerce"/>
  </r>
  <r>
    <x v="3"/>
    <x v="16"/>
    <s v="East"/>
    <x v="0"/>
    <x v="0"/>
    <x v="0"/>
    <n v="14184"/>
    <n v="10"/>
    <n v="141840"/>
    <s v="E-commerce"/>
  </r>
  <r>
    <x v="3"/>
    <x v="16"/>
    <s v="East"/>
    <x v="0"/>
    <x v="0"/>
    <x v="1"/>
    <n v="9239"/>
    <n v="20"/>
    <n v="184780"/>
    <s v="Wholesale"/>
  </r>
  <r>
    <x v="3"/>
    <x v="16"/>
    <s v="East"/>
    <x v="0"/>
    <x v="0"/>
    <x v="2"/>
    <n v="8789"/>
    <n v="30"/>
    <n v="263670"/>
    <s v="E-commerce"/>
  </r>
  <r>
    <x v="3"/>
    <x v="16"/>
    <s v="East"/>
    <x v="0"/>
    <x v="0"/>
    <x v="3"/>
    <n v="14506"/>
    <n v="15"/>
    <n v="217590"/>
    <s v="Wholesale"/>
  </r>
  <r>
    <x v="3"/>
    <x v="16"/>
    <s v="East"/>
    <x v="1"/>
    <x v="1"/>
    <x v="4"/>
    <n v="8764"/>
    <n v="2"/>
    <n v="17528"/>
    <s v="Wholesale"/>
  </r>
  <r>
    <x v="3"/>
    <x v="16"/>
    <s v="East"/>
    <x v="1"/>
    <x v="1"/>
    <x v="5"/>
    <n v="12830"/>
    <n v="2"/>
    <n v="25660"/>
    <s v="Retail"/>
  </r>
  <r>
    <x v="3"/>
    <x v="16"/>
    <s v="East"/>
    <x v="1"/>
    <x v="1"/>
    <x v="6"/>
    <n v="5166"/>
    <n v="5"/>
    <n v="25830"/>
    <s v="E-commerce"/>
  </r>
  <r>
    <x v="3"/>
    <x v="16"/>
    <s v="East"/>
    <x v="1"/>
    <x v="2"/>
    <x v="7"/>
    <n v="5737"/>
    <n v="3"/>
    <n v="17211"/>
    <s v="E-commerce"/>
  </r>
  <r>
    <x v="3"/>
    <x v="17"/>
    <s v="West"/>
    <x v="0"/>
    <x v="0"/>
    <x v="0"/>
    <n v="11192"/>
    <n v="10"/>
    <n v="111920"/>
    <s v="Retail"/>
  </r>
  <r>
    <x v="3"/>
    <x v="17"/>
    <s v="West"/>
    <x v="0"/>
    <x v="0"/>
    <x v="1"/>
    <n v="11490"/>
    <n v="20"/>
    <n v="229800"/>
    <s v="Wholesale"/>
  </r>
  <r>
    <x v="3"/>
    <x v="17"/>
    <s v="West"/>
    <x v="0"/>
    <x v="0"/>
    <x v="2"/>
    <n v="10728"/>
    <n v="30"/>
    <n v="321840"/>
    <s v="Wholesale"/>
  </r>
  <r>
    <x v="3"/>
    <x v="17"/>
    <s v="West"/>
    <x v="0"/>
    <x v="0"/>
    <x v="3"/>
    <n v="6223"/>
    <n v="15"/>
    <n v="93345"/>
    <s v="Wholesale"/>
  </r>
  <r>
    <x v="3"/>
    <x v="17"/>
    <s v="West"/>
    <x v="1"/>
    <x v="1"/>
    <x v="4"/>
    <n v="9710"/>
    <n v="2"/>
    <n v="19420"/>
    <s v="Wholesale"/>
  </r>
  <r>
    <x v="3"/>
    <x v="17"/>
    <s v="West"/>
    <x v="1"/>
    <x v="1"/>
    <x v="5"/>
    <n v="13718"/>
    <n v="2"/>
    <n v="27436"/>
    <s v="Wholesale"/>
  </r>
  <r>
    <x v="3"/>
    <x v="17"/>
    <s v="West"/>
    <x v="1"/>
    <x v="1"/>
    <x v="6"/>
    <n v="8691"/>
    <n v="5"/>
    <n v="43455"/>
    <s v="Retail"/>
  </r>
  <r>
    <x v="3"/>
    <x v="17"/>
    <s v="West"/>
    <x v="1"/>
    <x v="2"/>
    <x v="7"/>
    <n v="12593"/>
    <n v="3"/>
    <n v="37779"/>
    <s v="Retail"/>
  </r>
  <r>
    <x v="3"/>
    <x v="18"/>
    <s v="West"/>
    <x v="0"/>
    <x v="0"/>
    <x v="0"/>
    <n v="6940"/>
    <n v="10"/>
    <n v="69400"/>
    <s v="E-commerce"/>
  </r>
  <r>
    <x v="3"/>
    <x v="18"/>
    <s v="West"/>
    <x v="0"/>
    <x v="0"/>
    <x v="1"/>
    <n v="8723"/>
    <n v="20"/>
    <n v="174460"/>
    <s v="Wholesale"/>
  </r>
  <r>
    <x v="3"/>
    <x v="18"/>
    <s v="West"/>
    <x v="0"/>
    <x v="0"/>
    <x v="2"/>
    <n v="10830"/>
    <n v="30"/>
    <n v="324900"/>
    <s v="E-commerce"/>
  </r>
  <r>
    <x v="3"/>
    <x v="18"/>
    <s v="West"/>
    <x v="0"/>
    <x v="0"/>
    <x v="3"/>
    <n v="6417"/>
    <n v="15"/>
    <n v="96255"/>
    <s v="Wholesale"/>
  </r>
  <r>
    <x v="3"/>
    <x v="18"/>
    <s v="West"/>
    <x v="1"/>
    <x v="1"/>
    <x v="4"/>
    <n v="13595"/>
    <n v="2"/>
    <n v="27190"/>
    <s v="Retail"/>
  </r>
  <r>
    <x v="3"/>
    <x v="18"/>
    <s v="West"/>
    <x v="1"/>
    <x v="1"/>
    <x v="5"/>
    <n v="9721"/>
    <n v="2"/>
    <n v="19442"/>
    <s v="Retail"/>
  </r>
  <r>
    <x v="3"/>
    <x v="18"/>
    <s v="West"/>
    <x v="1"/>
    <x v="1"/>
    <x v="6"/>
    <n v="8231"/>
    <n v="5"/>
    <n v="41155"/>
    <s v="Retail"/>
  </r>
  <r>
    <x v="3"/>
    <x v="18"/>
    <s v="West"/>
    <x v="1"/>
    <x v="2"/>
    <x v="7"/>
    <n v="14245"/>
    <n v="3"/>
    <n v="42735"/>
    <s v="Retail"/>
  </r>
  <r>
    <x v="3"/>
    <x v="19"/>
    <s v="West"/>
    <x v="0"/>
    <x v="0"/>
    <x v="0"/>
    <n v="12832"/>
    <n v="10"/>
    <n v="128320"/>
    <s v="E-commerce"/>
  </r>
  <r>
    <x v="3"/>
    <x v="19"/>
    <s v="West"/>
    <x v="0"/>
    <x v="0"/>
    <x v="1"/>
    <n v="10854"/>
    <n v="20"/>
    <n v="217080"/>
    <s v="Wholesale"/>
  </r>
  <r>
    <x v="3"/>
    <x v="19"/>
    <s v="West"/>
    <x v="0"/>
    <x v="0"/>
    <x v="2"/>
    <n v="13182"/>
    <n v="30"/>
    <n v="395460"/>
    <s v="E-commerce"/>
  </r>
  <r>
    <x v="3"/>
    <x v="19"/>
    <s v="West"/>
    <x v="0"/>
    <x v="0"/>
    <x v="3"/>
    <n v="9531"/>
    <n v="15"/>
    <n v="142965"/>
    <s v="Retail"/>
  </r>
  <r>
    <x v="3"/>
    <x v="19"/>
    <s v="West"/>
    <x v="1"/>
    <x v="1"/>
    <x v="4"/>
    <n v="10599"/>
    <n v="2"/>
    <n v="21198"/>
    <s v="Retail"/>
  </r>
  <r>
    <x v="3"/>
    <x v="19"/>
    <s v="West"/>
    <x v="1"/>
    <x v="1"/>
    <x v="5"/>
    <n v="12789"/>
    <n v="2"/>
    <n v="25578"/>
    <s v="E-commerce"/>
  </r>
  <r>
    <x v="3"/>
    <x v="19"/>
    <s v="West"/>
    <x v="1"/>
    <x v="1"/>
    <x v="6"/>
    <n v="8610"/>
    <n v="5"/>
    <n v="43050"/>
    <s v="Wholesale"/>
  </r>
  <r>
    <x v="3"/>
    <x v="19"/>
    <s v="West"/>
    <x v="1"/>
    <x v="2"/>
    <x v="7"/>
    <n v="11975"/>
    <n v="3"/>
    <n v="35925"/>
    <s v="Wholesale"/>
  </r>
  <r>
    <x v="3"/>
    <x v="20"/>
    <s v="West"/>
    <x v="0"/>
    <x v="0"/>
    <x v="0"/>
    <n v="13324"/>
    <n v="10"/>
    <n v="133240"/>
    <s v="E-commerce"/>
  </r>
  <r>
    <x v="3"/>
    <x v="20"/>
    <s v="West"/>
    <x v="0"/>
    <x v="0"/>
    <x v="1"/>
    <n v="14838"/>
    <n v="20"/>
    <n v="296760"/>
    <s v="Retail"/>
  </r>
  <r>
    <x v="3"/>
    <x v="20"/>
    <s v="West"/>
    <x v="0"/>
    <x v="0"/>
    <x v="2"/>
    <n v="13495"/>
    <n v="30"/>
    <n v="404850"/>
    <s v="Retail"/>
  </r>
  <r>
    <x v="3"/>
    <x v="20"/>
    <s v="West"/>
    <x v="0"/>
    <x v="0"/>
    <x v="3"/>
    <n v="13482"/>
    <n v="15"/>
    <n v="202230"/>
    <s v="Retail"/>
  </r>
  <r>
    <x v="3"/>
    <x v="20"/>
    <s v="West"/>
    <x v="1"/>
    <x v="1"/>
    <x v="4"/>
    <n v="11270"/>
    <n v="2"/>
    <n v="22540"/>
    <s v="E-commerce"/>
  </r>
  <r>
    <x v="3"/>
    <x v="20"/>
    <s v="West"/>
    <x v="1"/>
    <x v="1"/>
    <x v="5"/>
    <n v="9712"/>
    <n v="2"/>
    <n v="19424"/>
    <s v="E-commerce"/>
  </r>
  <r>
    <x v="3"/>
    <x v="20"/>
    <s v="West"/>
    <x v="1"/>
    <x v="1"/>
    <x v="6"/>
    <n v="13319"/>
    <n v="5"/>
    <n v="66595"/>
    <s v="E-commerce"/>
  </r>
  <r>
    <x v="3"/>
    <x v="20"/>
    <s v="West"/>
    <x v="1"/>
    <x v="2"/>
    <x v="7"/>
    <n v="13738"/>
    <n v="3"/>
    <n v="41214"/>
    <s v="Wholesale"/>
  </r>
  <r>
    <x v="3"/>
    <x v="21"/>
    <s v="West"/>
    <x v="0"/>
    <x v="0"/>
    <x v="0"/>
    <n v="5751"/>
    <n v="10"/>
    <n v="57510"/>
    <s v="Wholesale"/>
  </r>
  <r>
    <x v="3"/>
    <x v="21"/>
    <s v="West"/>
    <x v="0"/>
    <x v="0"/>
    <x v="1"/>
    <n v="11265"/>
    <n v="20"/>
    <n v="225300"/>
    <s v="Wholesale"/>
  </r>
  <r>
    <x v="3"/>
    <x v="21"/>
    <s v="West"/>
    <x v="0"/>
    <x v="0"/>
    <x v="2"/>
    <n v="6513"/>
    <n v="30"/>
    <n v="195390"/>
    <s v="Retail"/>
  </r>
  <r>
    <x v="3"/>
    <x v="21"/>
    <s v="West"/>
    <x v="0"/>
    <x v="0"/>
    <x v="3"/>
    <n v="7703"/>
    <n v="15"/>
    <n v="115545"/>
    <s v="E-commerce"/>
  </r>
  <r>
    <x v="3"/>
    <x v="21"/>
    <s v="West"/>
    <x v="1"/>
    <x v="1"/>
    <x v="4"/>
    <n v="9485"/>
    <n v="2"/>
    <n v="18970"/>
    <s v="E-commerce"/>
  </r>
  <r>
    <x v="3"/>
    <x v="21"/>
    <s v="West"/>
    <x v="1"/>
    <x v="1"/>
    <x v="5"/>
    <n v="8203"/>
    <n v="2"/>
    <n v="16406"/>
    <s v="E-commerce"/>
  </r>
  <r>
    <x v="3"/>
    <x v="21"/>
    <s v="West"/>
    <x v="1"/>
    <x v="1"/>
    <x v="6"/>
    <n v="13833"/>
    <n v="5"/>
    <n v="69165"/>
    <s v="Wholesale"/>
  </r>
  <r>
    <x v="3"/>
    <x v="21"/>
    <s v="West"/>
    <x v="1"/>
    <x v="2"/>
    <x v="7"/>
    <n v="14322"/>
    <n v="3"/>
    <n v="42966"/>
    <s v="Wholesale"/>
  </r>
  <r>
    <x v="4"/>
    <x v="0"/>
    <s v="North"/>
    <x v="0"/>
    <x v="0"/>
    <x v="0"/>
    <n v="13708"/>
    <n v="10"/>
    <n v="137080"/>
    <s v="Wholesale"/>
  </r>
  <r>
    <x v="4"/>
    <x v="0"/>
    <s v="North"/>
    <x v="0"/>
    <x v="0"/>
    <x v="1"/>
    <n v="6451"/>
    <n v="20"/>
    <n v="129020"/>
    <s v="E-commerce"/>
  </r>
  <r>
    <x v="4"/>
    <x v="0"/>
    <s v="North"/>
    <x v="0"/>
    <x v="0"/>
    <x v="2"/>
    <n v="7728"/>
    <n v="30"/>
    <n v="231840"/>
    <s v="Retail"/>
  </r>
  <r>
    <x v="4"/>
    <x v="0"/>
    <s v="North"/>
    <x v="0"/>
    <x v="0"/>
    <x v="3"/>
    <n v="6951"/>
    <n v="15"/>
    <n v="104265"/>
    <s v="Retail"/>
  </r>
  <r>
    <x v="4"/>
    <x v="0"/>
    <s v="North"/>
    <x v="1"/>
    <x v="1"/>
    <x v="4"/>
    <n v="13047"/>
    <n v="2"/>
    <n v="26094"/>
    <s v="Wholesale"/>
  </r>
  <r>
    <x v="4"/>
    <x v="0"/>
    <s v="North"/>
    <x v="1"/>
    <x v="1"/>
    <x v="5"/>
    <n v="17909"/>
    <n v="2"/>
    <n v="35818"/>
    <s v="Retail"/>
  </r>
  <r>
    <x v="4"/>
    <x v="0"/>
    <s v="North"/>
    <x v="1"/>
    <x v="1"/>
    <x v="6"/>
    <n v="15407"/>
    <n v="5"/>
    <n v="77035"/>
    <s v="Wholesale"/>
  </r>
  <r>
    <x v="4"/>
    <x v="0"/>
    <s v="North"/>
    <x v="1"/>
    <x v="2"/>
    <x v="7"/>
    <n v="11549"/>
    <n v="3"/>
    <n v="34647"/>
    <s v="E-commerce"/>
  </r>
  <r>
    <x v="4"/>
    <x v="1"/>
    <s v="North"/>
    <x v="0"/>
    <x v="0"/>
    <x v="0"/>
    <n v="5614"/>
    <n v="10"/>
    <n v="56140"/>
    <s v="Wholesale"/>
  </r>
  <r>
    <x v="4"/>
    <x v="1"/>
    <s v="North"/>
    <x v="0"/>
    <x v="0"/>
    <x v="1"/>
    <n v="12043"/>
    <n v="20"/>
    <n v="240860"/>
    <s v="Retail"/>
  </r>
  <r>
    <x v="4"/>
    <x v="1"/>
    <s v="North"/>
    <x v="0"/>
    <x v="0"/>
    <x v="2"/>
    <n v="10464"/>
    <n v="30"/>
    <n v="313920"/>
    <s v="Wholesale"/>
  </r>
  <r>
    <x v="4"/>
    <x v="1"/>
    <s v="North"/>
    <x v="0"/>
    <x v="0"/>
    <x v="3"/>
    <n v="11435"/>
    <n v="15"/>
    <n v="171525"/>
    <s v="E-commerce"/>
  </r>
  <r>
    <x v="4"/>
    <x v="1"/>
    <s v="North"/>
    <x v="1"/>
    <x v="1"/>
    <x v="4"/>
    <n v="17893"/>
    <n v="2"/>
    <n v="35786"/>
    <s v="Retail"/>
  </r>
  <r>
    <x v="4"/>
    <x v="1"/>
    <s v="North"/>
    <x v="1"/>
    <x v="1"/>
    <x v="5"/>
    <n v="12273"/>
    <n v="2"/>
    <n v="24546"/>
    <s v="Retail"/>
  </r>
  <r>
    <x v="4"/>
    <x v="1"/>
    <s v="North"/>
    <x v="1"/>
    <x v="1"/>
    <x v="6"/>
    <n v="15431"/>
    <n v="5"/>
    <n v="77155"/>
    <s v="Retail"/>
  </r>
  <r>
    <x v="4"/>
    <x v="1"/>
    <s v="North"/>
    <x v="1"/>
    <x v="2"/>
    <x v="7"/>
    <n v="18115"/>
    <n v="3"/>
    <n v="54345"/>
    <s v="Wholesale"/>
  </r>
  <r>
    <x v="4"/>
    <x v="2"/>
    <s v="North"/>
    <x v="0"/>
    <x v="0"/>
    <x v="0"/>
    <n v="11128"/>
    <n v="10"/>
    <n v="111280"/>
    <s v="E-commerce"/>
  </r>
  <r>
    <x v="4"/>
    <x v="2"/>
    <s v="North"/>
    <x v="0"/>
    <x v="0"/>
    <x v="1"/>
    <n v="7916"/>
    <n v="20"/>
    <n v="158320"/>
    <s v="E-commerce"/>
  </r>
  <r>
    <x v="4"/>
    <x v="2"/>
    <s v="North"/>
    <x v="0"/>
    <x v="0"/>
    <x v="2"/>
    <n v="7943"/>
    <n v="30"/>
    <n v="238290"/>
    <s v="Retail"/>
  </r>
  <r>
    <x v="4"/>
    <x v="2"/>
    <s v="North"/>
    <x v="0"/>
    <x v="0"/>
    <x v="3"/>
    <n v="7412"/>
    <n v="15"/>
    <n v="111180"/>
    <s v="Retail"/>
  </r>
  <r>
    <x v="4"/>
    <x v="2"/>
    <s v="North"/>
    <x v="1"/>
    <x v="1"/>
    <x v="4"/>
    <n v="7966"/>
    <n v="2"/>
    <n v="15932"/>
    <s v="E-commerce"/>
  </r>
  <r>
    <x v="4"/>
    <x v="2"/>
    <s v="North"/>
    <x v="1"/>
    <x v="1"/>
    <x v="5"/>
    <n v="15062"/>
    <n v="2"/>
    <n v="30124"/>
    <s v="Retail"/>
  </r>
  <r>
    <x v="4"/>
    <x v="2"/>
    <s v="North"/>
    <x v="1"/>
    <x v="1"/>
    <x v="6"/>
    <n v="8711"/>
    <n v="5"/>
    <n v="43555"/>
    <s v="E-commerce"/>
  </r>
  <r>
    <x v="4"/>
    <x v="2"/>
    <s v="North"/>
    <x v="1"/>
    <x v="2"/>
    <x v="7"/>
    <n v="10545"/>
    <n v="3"/>
    <n v="31635"/>
    <s v="Retail"/>
  </r>
  <r>
    <x v="4"/>
    <x v="3"/>
    <s v="North"/>
    <x v="0"/>
    <x v="0"/>
    <x v="0"/>
    <n v="13065"/>
    <n v="10"/>
    <n v="130650"/>
    <s v="Wholesale"/>
  </r>
  <r>
    <x v="4"/>
    <x v="3"/>
    <s v="North"/>
    <x v="0"/>
    <x v="0"/>
    <x v="1"/>
    <n v="9563"/>
    <n v="20"/>
    <n v="191260"/>
    <s v="Wholesale"/>
  </r>
  <r>
    <x v="4"/>
    <x v="3"/>
    <s v="North"/>
    <x v="0"/>
    <x v="0"/>
    <x v="2"/>
    <n v="11330"/>
    <n v="30"/>
    <n v="339900"/>
    <s v="Wholesale"/>
  </r>
  <r>
    <x v="4"/>
    <x v="3"/>
    <s v="North"/>
    <x v="0"/>
    <x v="0"/>
    <x v="3"/>
    <n v="6995"/>
    <n v="15"/>
    <n v="104925"/>
    <s v="E-commerce"/>
  </r>
  <r>
    <x v="4"/>
    <x v="3"/>
    <s v="North"/>
    <x v="1"/>
    <x v="1"/>
    <x v="4"/>
    <n v="10350"/>
    <n v="2"/>
    <n v="20700"/>
    <s v="Retail"/>
  </r>
  <r>
    <x v="4"/>
    <x v="3"/>
    <s v="North"/>
    <x v="1"/>
    <x v="1"/>
    <x v="5"/>
    <n v="17845"/>
    <n v="2"/>
    <n v="35690"/>
    <s v="E-commerce"/>
  </r>
  <r>
    <x v="4"/>
    <x v="3"/>
    <s v="North"/>
    <x v="1"/>
    <x v="1"/>
    <x v="6"/>
    <n v="7255"/>
    <n v="5"/>
    <n v="36275"/>
    <s v="Retail"/>
  </r>
  <r>
    <x v="4"/>
    <x v="3"/>
    <s v="North"/>
    <x v="1"/>
    <x v="2"/>
    <x v="7"/>
    <n v="11065"/>
    <n v="3"/>
    <n v="33195"/>
    <s v="E-commerce"/>
  </r>
  <r>
    <x v="4"/>
    <x v="4"/>
    <s v="North"/>
    <x v="0"/>
    <x v="0"/>
    <x v="0"/>
    <n v="14962"/>
    <n v="10"/>
    <n v="149620"/>
    <s v="Retail"/>
  </r>
  <r>
    <x v="4"/>
    <x v="4"/>
    <s v="North"/>
    <x v="0"/>
    <x v="0"/>
    <x v="1"/>
    <n v="6089"/>
    <n v="20"/>
    <n v="121780"/>
    <s v="Wholesale"/>
  </r>
  <r>
    <x v="4"/>
    <x v="4"/>
    <s v="North"/>
    <x v="0"/>
    <x v="0"/>
    <x v="2"/>
    <n v="10680"/>
    <n v="30"/>
    <n v="320400"/>
    <s v="Wholesale"/>
  </r>
  <r>
    <x v="4"/>
    <x v="4"/>
    <s v="North"/>
    <x v="0"/>
    <x v="0"/>
    <x v="3"/>
    <n v="5286"/>
    <n v="15"/>
    <n v="79290"/>
    <s v="E-commerce"/>
  </r>
  <r>
    <x v="4"/>
    <x v="4"/>
    <s v="North"/>
    <x v="1"/>
    <x v="1"/>
    <x v="4"/>
    <n v="17210"/>
    <n v="2"/>
    <n v="34420"/>
    <s v="E-commerce"/>
  </r>
  <r>
    <x v="4"/>
    <x v="4"/>
    <s v="North"/>
    <x v="1"/>
    <x v="1"/>
    <x v="5"/>
    <n v="13790"/>
    <n v="2"/>
    <n v="27580"/>
    <s v="Retail"/>
  </r>
  <r>
    <x v="4"/>
    <x v="4"/>
    <s v="North"/>
    <x v="1"/>
    <x v="1"/>
    <x v="6"/>
    <n v="13631"/>
    <n v="5"/>
    <n v="68155"/>
    <s v="E-commerce"/>
  </r>
  <r>
    <x v="4"/>
    <x v="4"/>
    <s v="North"/>
    <x v="1"/>
    <x v="2"/>
    <x v="7"/>
    <n v="18457"/>
    <n v="3"/>
    <n v="55371"/>
    <s v="Wholesale"/>
  </r>
  <r>
    <x v="4"/>
    <x v="5"/>
    <s v="North"/>
    <x v="0"/>
    <x v="0"/>
    <x v="0"/>
    <n v="5717"/>
    <n v="10"/>
    <n v="57170"/>
    <s v="E-commerce"/>
  </r>
  <r>
    <x v="4"/>
    <x v="5"/>
    <s v="North"/>
    <x v="0"/>
    <x v="0"/>
    <x v="1"/>
    <n v="12203"/>
    <n v="20"/>
    <n v="244060"/>
    <s v="Retail"/>
  </r>
  <r>
    <x v="4"/>
    <x v="5"/>
    <s v="North"/>
    <x v="0"/>
    <x v="0"/>
    <x v="2"/>
    <n v="10825"/>
    <n v="30"/>
    <n v="324750"/>
    <s v="E-commerce"/>
  </r>
  <r>
    <x v="4"/>
    <x v="5"/>
    <s v="North"/>
    <x v="0"/>
    <x v="0"/>
    <x v="3"/>
    <n v="8787"/>
    <n v="15"/>
    <n v="131805"/>
    <s v="E-commerce"/>
  </r>
  <r>
    <x v="4"/>
    <x v="5"/>
    <s v="North"/>
    <x v="1"/>
    <x v="1"/>
    <x v="4"/>
    <n v="7759"/>
    <n v="2"/>
    <n v="15518"/>
    <s v="Wholesale"/>
  </r>
  <r>
    <x v="4"/>
    <x v="5"/>
    <s v="North"/>
    <x v="1"/>
    <x v="1"/>
    <x v="5"/>
    <n v="15196"/>
    <n v="2"/>
    <n v="30392"/>
    <s v="Wholesale"/>
  </r>
  <r>
    <x v="4"/>
    <x v="5"/>
    <s v="North"/>
    <x v="1"/>
    <x v="1"/>
    <x v="6"/>
    <n v="7182"/>
    <n v="5"/>
    <n v="35910"/>
    <s v="E-commerce"/>
  </r>
  <r>
    <x v="4"/>
    <x v="5"/>
    <s v="North"/>
    <x v="1"/>
    <x v="2"/>
    <x v="7"/>
    <n v="6718"/>
    <n v="3"/>
    <n v="20154"/>
    <s v="Wholesale"/>
  </r>
  <r>
    <x v="4"/>
    <x v="6"/>
    <s v="North"/>
    <x v="0"/>
    <x v="0"/>
    <x v="0"/>
    <n v="8982"/>
    <n v="10"/>
    <n v="89820"/>
    <s v="Retail"/>
  </r>
  <r>
    <x v="4"/>
    <x v="6"/>
    <s v="North"/>
    <x v="0"/>
    <x v="0"/>
    <x v="1"/>
    <n v="7501"/>
    <n v="20"/>
    <n v="150020"/>
    <s v="Wholesale"/>
  </r>
  <r>
    <x v="4"/>
    <x v="6"/>
    <s v="North"/>
    <x v="0"/>
    <x v="0"/>
    <x v="2"/>
    <n v="9189"/>
    <n v="30"/>
    <n v="275670"/>
    <s v="Retail"/>
  </r>
  <r>
    <x v="4"/>
    <x v="6"/>
    <s v="North"/>
    <x v="0"/>
    <x v="0"/>
    <x v="3"/>
    <n v="8116"/>
    <n v="15"/>
    <n v="121740"/>
    <s v="Wholesale"/>
  </r>
  <r>
    <x v="4"/>
    <x v="6"/>
    <s v="North"/>
    <x v="1"/>
    <x v="1"/>
    <x v="4"/>
    <n v="10860"/>
    <n v="2"/>
    <n v="21720"/>
    <s v="Wholesale"/>
  </r>
  <r>
    <x v="4"/>
    <x v="6"/>
    <s v="North"/>
    <x v="1"/>
    <x v="1"/>
    <x v="5"/>
    <n v="8902"/>
    <n v="2"/>
    <n v="17804"/>
    <s v="Wholesale"/>
  </r>
  <r>
    <x v="4"/>
    <x v="6"/>
    <s v="North"/>
    <x v="1"/>
    <x v="1"/>
    <x v="6"/>
    <n v="13010"/>
    <n v="5"/>
    <n v="65050"/>
    <s v="Retail"/>
  </r>
  <r>
    <x v="4"/>
    <x v="6"/>
    <s v="North"/>
    <x v="1"/>
    <x v="2"/>
    <x v="7"/>
    <n v="7793"/>
    <n v="3"/>
    <n v="23379"/>
    <s v="Wholesale"/>
  </r>
  <r>
    <x v="4"/>
    <x v="7"/>
    <s v="South"/>
    <x v="0"/>
    <x v="0"/>
    <x v="0"/>
    <n v="8811"/>
    <n v="10"/>
    <n v="88110"/>
    <s v="E-commerce"/>
  </r>
  <r>
    <x v="4"/>
    <x v="7"/>
    <s v="South"/>
    <x v="0"/>
    <x v="0"/>
    <x v="1"/>
    <n v="5753"/>
    <n v="20"/>
    <n v="115060"/>
    <s v="E-commerce"/>
  </r>
  <r>
    <x v="4"/>
    <x v="7"/>
    <s v="South"/>
    <x v="0"/>
    <x v="0"/>
    <x v="2"/>
    <n v="10113"/>
    <n v="30"/>
    <n v="303390"/>
    <s v="E-commerce"/>
  </r>
  <r>
    <x v="4"/>
    <x v="7"/>
    <s v="South"/>
    <x v="0"/>
    <x v="0"/>
    <x v="3"/>
    <n v="6084"/>
    <n v="15"/>
    <n v="91260"/>
    <s v="Retail"/>
  </r>
  <r>
    <x v="4"/>
    <x v="7"/>
    <s v="South"/>
    <x v="1"/>
    <x v="1"/>
    <x v="4"/>
    <n v="14348"/>
    <n v="2"/>
    <n v="28696"/>
    <s v="Retail"/>
  </r>
  <r>
    <x v="4"/>
    <x v="7"/>
    <s v="South"/>
    <x v="1"/>
    <x v="1"/>
    <x v="5"/>
    <n v="17961"/>
    <n v="2"/>
    <n v="35922"/>
    <s v="E-commerce"/>
  </r>
  <r>
    <x v="4"/>
    <x v="7"/>
    <s v="South"/>
    <x v="1"/>
    <x v="1"/>
    <x v="6"/>
    <n v="8313"/>
    <n v="5"/>
    <n v="41565"/>
    <s v="Retail"/>
  </r>
  <r>
    <x v="4"/>
    <x v="7"/>
    <s v="South"/>
    <x v="1"/>
    <x v="2"/>
    <x v="7"/>
    <n v="10798"/>
    <n v="3"/>
    <n v="32394"/>
    <s v="E-commerce"/>
  </r>
  <r>
    <x v="4"/>
    <x v="8"/>
    <s v="South"/>
    <x v="0"/>
    <x v="0"/>
    <x v="0"/>
    <n v="7161"/>
    <n v="10"/>
    <n v="71610"/>
    <s v="E-commerce"/>
  </r>
  <r>
    <x v="4"/>
    <x v="8"/>
    <s v="South"/>
    <x v="0"/>
    <x v="0"/>
    <x v="1"/>
    <n v="8441"/>
    <n v="20"/>
    <n v="168820"/>
    <s v="E-commerce"/>
  </r>
  <r>
    <x v="4"/>
    <x v="8"/>
    <s v="South"/>
    <x v="0"/>
    <x v="0"/>
    <x v="2"/>
    <n v="14713"/>
    <n v="30"/>
    <n v="441390"/>
    <s v="Wholesale"/>
  </r>
  <r>
    <x v="4"/>
    <x v="8"/>
    <s v="South"/>
    <x v="0"/>
    <x v="0"/>
    <x v="3"/>
    <n v="12341"/>
    <n v="15"/>
    <n v="185115"/>
    <s v="Retail"/>
  </r>
  <r>
    <x v="4"/>
    <x v="8"/>
    <s v="South"/>
    <x v="1"/>
    <x v="1"/>
    <x v="4"/>
    <n v="13797"/>
    <n v="2"/>
    <n v="27594"/>
    <s v="Retail"/>
  </r>
  <r>
    <x v="4"/>
    <x v="8"/>
    <s v="South"/>
    <x v="1"/>
    <x v="1"/>
    <x v="5"/>
    <n v="7047"/>
    <n v="2"/>
    <n v="14094"/>
    <s v="Wholesale"/>
  </r>
  <r>
    <x v="4"/>
    <x v="8"/>
    <s v="South"/>
    <x v="1"/>
    <x v="1"/>
    <x v="6"/>
    <n v="11327"/>
    <n v="5"/>
    <n v="56635"/>
    <s v="Wholesale"/>
  </r>
  <r>
    <x v="4"/>
    <x v="8"/>
    <s v="South"/>
    <x v="1"/>
    <x v="2"/>
    <x v="7"/>
    <n v="17137"/>
    <n v="3"/>
    <n v="51411"/>
    <s v="Retail"/>
  </r>
  <r>
    <x v="4"/>
    <x v="9"/>
    <s v="South"/>
    <x v="0"/>
    <x v="0"/>
    <x v="0"/>
    <n v="13012"/>
    <n v="10"/>
    <n v="130120"/>
    <s v="Retail"/>
  </r>
  <r>
    <x v="4"/>
    <x v="9"/>
    <s v="South"/>
    <x v="0"/>
    <x v="0"/>
    <x v="1"/>
    <n v="5805"/>
    <n v="20"/>
    <n v="116100"/>
    <s v="E-commerce"/>
  </r>
  <r>
    <x v="4"/>
    <x v="9"/>
    <s v="South"/>
    <x v="0"/>
    <x v="0"/>
    <x v="2"/>
    <n v="12350"/>
    <n v="30"/>
    <n v="370500"/>
    <s v="Retail"/>
  </r>
  <r>
    <x v="4"/>
    <x v="9"/>
    <s v="South"/>
    <x v="0"/>
    <x v="0"/>
    <x v="3"/>
    <n v="11226"/>
    <n v="15"/>
    <n v="168390"/>
    <s v="E-commerce"/>
  </r>
  <r>
    <x v="4"/>
    <x v="9"/>
    <s v="South"/>
    <x v="1"/>
    <x v="1"/>
    <x v="4"/>
    <n v="15566"/>
    <n v="2"/>
    <n v="31132"/>
    <s v="Retail"/>
  </r>
  <r>
    <x v="4"/>
    <x v="9"/>
    <s v="South"/>
    <x v="1"/>
    <x v="1"/>
    <x v="5"/>
    <n v="11662"/>
    <n v="2"/>
    <n v="23324"/>
    <s v="Wholesale"/>
  </r>
  <r>
    <x v="4"/>
    <x v="9"/>
    <s v="South"/>
    <x v="1"/>
    <x v="1"/>
    <x v="6"/>
    <n v="12489"/>
    <n v="5"/>
    <n v="62445"/>
    <s v="Retail"/>
  </r>
  <r>
    <x v="4"/>
    <x v="9"/>
    <s v="South"/>
    <x v="1"/>
    <x v="2"/>
    <x v="7"/>
    <n v="8155"/>
    <n v="3"/>
    <n v="24465"/>
    <s v="E-commerce"/>
  </r>
  <r>
    <x v="4"/>
    <x v="10"/>
    <s v="South"/>
    <x v="0"/>
    <x v="0"/>
    <x v="0"/>
    <n v="9459"/>
    <n v="10"/>
    <n v="94590"/>
    <s v="Wholesale"/>
  </r>
  <r>
    <x v="4"/>
    <x v="10"/>
    <s v="South"/>
    <x v="0"/>
    <x v="0"/>
    <x v="1"/>
    <n v="6036"/>
    <n v="20"/>
    <n v="120720"/>
    <s v="Retail"/>
  </r>
  <r>
    <x v="4"/>
    <x v="10"/>
    <s v="South"/>
    <x v="0"/>
    <x v="0"/>
    <x v="2"/>
    <n v="7974"/>
    <n v="30"/>
    <n v="239220"/>
    <s v="Wholesale"/>
  </r>
  <r>
    <x v="4"/>
    <x v="10"/>
    <s v="South"/>
    <x v="0"/>
    <x v="0"/>
    <x v="3"/>
    <n v="12254"/>
    <n v="15"/>
    <n v="183810"/>
    <s v="Retail"/>
  </r>
  <r>
    <x v="4"/>
    <x v="10"/>
    <s v="South"/>
    <x v="1"/>
    <x v="1"/>
    <x v="4"/>
    <n v="8529"/>
    <n v="2"/>
    <n v="17058"/>
    <s v="Wholesale"/>
  </r>
  <r>
    <x v="4"/>
    <x v="10"/>
    <s v="South"/>
    <x v="1"/>
    <x v="1"/>
    <x v="5"/>
    <n v="12814"/>
    <n v="2"/>
    <n v="25628"/>
    <s v="Wholesale"/>
  </r>
  <r>
    <x v="4"/>
    <x v="10"/>
    <s v="South"/>
    <x v="1"/>
    <x v="1"/>
    <x v="6"/>
    <n v="13549"/>
    <n v="5"/>
    <n v="67745"/>
    <s v="E-commerce"/>
  </r>
  <r>
    <x v="4"/>
    <x v="10"/>
    <s v="South"/>
    <x v="1"/>
    <x v="2"/>
    <x v="7"/>
    <n v="14144"/>
    <n v="3"/>
    <n v="42432"/>
    <s v="Retail"/>
  </r>
  <r>
    <x v="4"/>
    <x v="11"/>
    <s v="South"/>
    <x v="0"/>
    <x v="0"/>
    <x v="0"/>
    <n v="10504"/>
    <n v="10"/>
    <n v="105040"/>
    <s v="Wholesale"/>
  </r>
  <r>
    <x v="4"/>
    <x v="11"/>
    <s v="South"/>
    <x v="0"/>
    <x v="0"/>
    <x v="1"/>
    <n v="9528"/>
    <n v="20"/>
    <n v="190560"/>
    <s v="Wholesale"/>
  </r>
  <r>
    <x v="4"/>
    <x v="11"/>
    <s v="South"/>
    <x v="0"/>
    <x v="0"/>
    <x v="2"/>
    <n v="7695"/>
    <n v="30"/>
    <n v="230850"/>
    <s v="Retail"/>
  </r>
  <r>
    <x v="4"/>
    <x v="11"/>
    <s v="South"/>
    <x v="0"/>
    <x v="0"/>
    <x v="3"/>
    <n v="11633"/>
    <n v="15"/>
    <n v="174495"/>
    <s v="Wholesale"/>
  </r>
  <r>
    <x v="4"/>
    <x v="11"/>
    <s v="South"/>
    <x v="1"/>
    <x v="1"/>
    <x v="4"/>
    <n v="16699"/>
    <n v="2"/>
    <n v="33398"/>
    <s v="E-commerce"/>
  </r>
  <r>
    <x v="4"/>
    <x v="11"/>
    <s v="South"/>
    <x v="1"/>
    <x v="1"/>
    <x v="5"/>
    <n v="13917"/>
    <n v="2"/>
    <n v="27834"/>
    <s v="Retail"/>
  </r>
  <r>
    <x v="4"/>
    <x v="11"/>
    <s v="South"/>
    <x v="1"/>
    <x v="1"/>
    <x v="6"/>
    <n v="19672"/>
    <n v="5"/>
    <n v="98360"/>
    <s v="Wholesale"/>
  </r>
  <r>
    <x v="4"/>
    <x v="11"/>
    <s v="South"/>
    <x v="1"/>
    <x v="2"/>
    <x v="7"/>
    <n v="9212"/>
    <n v="3"/>
    <n v="27636"/>
    <s v="Wholesale"/>
  </r>
  <r>
    <x v="4"/>
    <x v="12"/>
    <s v="East"/>
    <x v="0"/>
    <x v="0"/>
    <x v="0"/>
    <n v="5869"/>
    <n v="10"/>
    <n v="58690"/>
    <s v="E-commerce"/>
  </r>
  <r>
    <x v="4"/>
    <x v="12"/>
    <s v="East"/>
    <x v="0"/>
    <x v="0"/>
    <x v="1"/>
    <n v="9375"/>
    <n v="20"/>
    <n v="187500"/>
    <s v="E-commerce"/>
  </r>
  <r>
    <x v="4"/>
    <x v="12"/>
    <s v="East"/>
    <x v="0"/>
    <x v="0"/>
    <x v="2"/>
    <n v="7061"/>
    <n v="30"/>
    <n v="211830"/>
    <s v="E-commerce"/>
  </r>
  <r>
    <x v="4"/>
    <x v="12"/>
    <s v="East"/>
    <x v="0"/>
    <x v="0"/>
    <x v="3"/>
    <n v="9265"/>
    <n v="15"/>
    <n v="138975"/>
    <s v="E-commerce"/>
  </r>
  <r>
    <x v="4"/>
    <x v="12"/>
    <s v="East"/>
    <x v="1"/>
    <x v="1"/>
    <x v="4"/>
    <n v="13250"/>
    <n v="2"/>
    <n v="26500"/>
    <s v="Retail"/>
  </r>
  <r>
    <x v="4"/>
    <x v="12"/>
    <s v="East"/>
    <x v="1"/>
    <x v="1"/>
    <x v="5"/>
    <n v="11032"/>
    <n v="2"/>
    <n v="22064"/>
    <s v="E-commerce"/>
  </r>
  <r>
    <x v="4"/>
    <x v="12"/>
    <s v="East"/>
    <x v="1"/>
    <x v="1"/>
    <x v="6"/>
    <n v="11907"/>
    <n v="5"/>
    <n v="59535"/>
    <s v="E-commerce"/>
  </r>
  <r>
    <x v="4"/>
    <x v="12"/>
    <s v="East"/>
    <x v="1"/>
    <x v="2"/>
    <x v="7"/>
    <n v="6932"/>
    <n v="3"/>
    <n v="20796"/>
    <s v="Retail"/>
  </r>
  <r>
    <x v="4"/>
    <x v="13"/>
    <s v="East"/>
    <x v="0"/>
    <x v="0"/>
    <x v="0"/>
    <n v="10282"/>
    <n v="10"/>
    <n v="102820"/>
    <s v="Retail"/>
  </r>
  <r>
    <x v="4"/>
    <x v="13"/>
    <s v="East"/>
    <x v="0"/>
    <x v="0"/>
    <x v="1"/>
    <n v="7286"/>
    <n v="20"/>
    <n v="145720"/>
    <s v="Retail"/>
  </r>
  <r>
    <x v="4"/>
    <x v="13"/>
    <s v="East"/>
    <x v="0"/>
    <x v="0"/>
    <x v="2"/>
    <n v="13880"/>
    <n v="30"/>
    <n v="416400"/>
    <s v="Wholesale"/>
  </r>
  <r>
    <x v="4"/>
    <x v="13"/>
    <s v="East"/>
    <x v="0"/>
    <x v="0"/>
    <x v="3"/>
    <n v="12268"/>
    <n v="15"/>
    <n v="184020"/>
    <s v="E-commerce"/>
  </r>
  <r>
    <x v="4"/>
    <x v="13"/>
    <s v="East"/>
    <x v="1"/>
    <x v="1"/>
    <x v="4"/>
    <n v="11317"/>
    <n v="2"/>
    <n v="22634"/>
    <s v="E-commerce"/>
  </r>
  <r>
    <x v="4"/>
    <x v="13"/>
    <s v="East"/>
    <x v="1"/>
    <x v="1"/>
    <x v="5"/>
    <n v="10291"/>
    <n v="2"/>
    <n v="20582"/>
    <s v="Retail"/>
  </r>
  <r>
    <x v="4"/>
    <x v="13"/>
    <s v="East"/>
    <x v="1"/>
    <x v="1"/>
    <x v="6"/>
    <n v="11796"/>
    <n v="5"/>
    <n v="58980"/>
    <s v="Retail"/>
  </r>
  <r>
    <x v="4"/>
    <x v="13"/>
    <s v="East"/>
    <x v="1"/>
    <x v="2"/>
    <x v="7"/>
    <n v="15516"/>
    <n v="3"/>
    <n v="46548"/>
    <s v="Retail"/>
  </r>
  <r>
    <x v="4"/>
    <x v="14"/>
    <s v="East"/>
    <x v="0"/>
    <x v="0"/>
    <x v="0"/>
    <n v="9308"/>
    <n v="10"/>
    <n v="93080"/>
    <s v="E-commerce"/>
  </r>
  <r>
    <x v="4"/>
    <x v="14"/>
    <s v="East"/>
    <x v="0"/>
    <x v="0"/>
    <x v="1"/>
    <n v="8083"/>
    <n v="20"/>
    <n v="161660"/>
    <s v="Retail"/>
  </r>
  <r>
    <x v="4"/>
    <x v="14"/>
    <s v="East"/>
    <x v="0"/>
    <x v="0"/>
    <x v="2"/>
    <n v="13437"/>
    <n v="30"/>
    <n v="403110"/>
    <s v="Wholesale"/>
  </r>
  <r>
    <x v="4"/>
    <x v="14"/>
    <s v="East"/>
    <x v="0"/>
    <x v="0"/>
    <x v="3"/>
    <n v="14573"/>
    <n v="15"/>
    <n v="218595"/>
    <s v="Retail"/>
  </r>
  <r>
    <x v="4"/>
    <x v="14"/>
    <s v="East"/>
    <x v="1"/>
    <x v="1"/>
    <x v="4"/>
    <n v="10746"/>
    <n v="2"/>
    <n v="21492"/>
    <s v="E-commerce"/>
  </r>
  <r>
    <x v="4"/>
    <x v="14"/>
    <s v="East"/>
    <x v="1"/>
    <x v="1"/>
    <x v="5"/>
    <n v="13153"/>
    <n v="2"/>
    <n v="26306"/>
    <s v="Wholesale"/>
  </r>
  <r>
    <x v="4"/>
    <x v="14"/>
    <s v="East"/>
    <x v="1"/>
    <x v="1"/>
    <x v="6"/>
    <n v="10862"/>
    <n v="5"/>
    <n v="54310"/>
    <s v="Retail"/>
  </r>
  <r>
    <x v="4"/>
    <x v="14"/>
    <s v="East"/>
    <x v="1"/>
    <x v="2"/>
    <x v="7"/>
    <n v="8988"/>
    <n v="3"/>
    <n v="26964"/>
    <s v="Wholesale"/>
  </r>
  <r>
    <x v="4"/>
    <x v="15"/>
    <s v="East"/>
    <x v="0"/>
    <x v="0"/>
    <x v="0"/>
    <n v="12840"/>
    <n v="10"/>
    <n v="128400"/>
    <s v="E-commerce"/>
  </r>
  <r>
    <x v="4"/>
    <x v="15"/>
    <s v="East"/>
    <x v="0"/>
    <x v="0"/>
    <x v="1"/>
    <n v="11688"/>
    <n v="20"/>
    <n v="233760"/>
    <s v="Retail"/>
  </r>
  <r>
    <x v="4"/>
    <x v="15"/>
    <s v="East"/>
    <x v="0"/>
    <x v="0"/>
    <x v="2"/>
    <n v="10338"/>
    <n v="30"/>
    <n v="310140"/>
    <s v="Retail"/>
  </r>
  <r>
    <x v="4"/>
    <x v="15"/>
    <s v="East"/>
    <x v="0"/>
    <x v="0"/>
    <x v="3"/>
    <n v="7839"/>
    <n v="15"/>
    <n v="117585"/>
    <s v="Retail"/>
  </r>
  <r>
    <x v="4"/>
    <x v="15"/>
    <s v="East"/>
    <x v="1"/>
    <x v="1"/>
    <x v="4"/>
    <n v="19450"/>
    <n v="2"/>
    <n v="38900"/>
    <s v="Wholesale"/>
  </r>
  <r>
    <x v="4"/>
    <x v="15"/>
    <s v="East"/>
    <x v="1"/>
    <x v="1"/>
    <x v="5"/>
    <n v="15966"/>
    <n v="2"/>
    <n v="31932"/>
    <s v="E-commerce"/>
  </r>
  <r>
    <x v="4"/>
    <x v="15"/>
    <s v="East"/>
    <x v="1"/>
    <x v="1"/>
    <x v="6"/>
    <n v="16510"/>
    <n v="5"/>
    <n v="82550"/>
    <s v="Wholesale"/>
  </r>
  <r>
    <x v="4"/>
    <x v="15"/>
    <s v="East"/>
    <x v="1"/>
    <x v="2"/>
    <x v="7"/>
    <n v="11927"/>
    <n v="3"/>
    <n v="35781"/>
    <s v="Wholesale"/>
  </r>
  <r>
    <x v="4"/>
    <x v="16"/>
    <s v="East"/>
    <x v="0"/>
    <x v="0"/>
    <x v="0"/>
    <n v="5927"/>
    <n v="10"/>
    <n v="59270"/>
    <s v="Wholesale"/>
  </r>
  <r>
    <x v="4"/>
    <x v="16"/>
    <s v="East"/>
    <x v="0"/>
    <x v="0"/>
    <x v="1"/>
    <n v="9630"/>
    <n v="20"/>
    <n v="192600"/>
    <s v="Wholesale"/>
  </r>
  <r>
    <x v="4"/>
    <x v="16"/>
    <s v="East"/>
    <x v="0"/>
    <x v="0"/>
    <x v="2"/>
    <n v="7946"/>
    <n v="30"/>
    <n v="238380"/>
    <s v="E-commerce"/>
  </r>
  <r>
    <x v="4"/>
    <x v="16"/>
    <s v="East"/>
    <x v="0"/>
    <x v="0"/>
    <x v="3"/>
    <n v="5619"/>
    <n v="15"/>
    <n v="84285"/>
    <s v="E-commerce"/>
  </r>
  <r>
    <x v="4"/>
    <x v="16"/>
    <s v="East"/>
    <x v="1"/>
    <x v="1"/>
    <x v="4"/>
    <n v="10844"/>
    <n v="2"/>
    <n v="21688"/>
    <s v="E-commerce"/>
  </r>
  <r>
    <x v="4"/>
    <x v="16"/>
    <s v="East"/>
    <x v="1"/>
    <x v="1"/>
    <x v="5"/>
    <n v="8214"/>
    <n v="2"/>
    <n v="16428"/>
    <s v="Retail"/>
  </r>
  <r>
    <x v="4"/>
    <x v="16"/>
    <s v="East"/>
    <x v="1"/>
    <x v="1"/>
    <x v="6"/>
    <n v="13722"/>
    <n v="5"/>
    <n v="68610"/>
    <s v="Wholesale"/>
  </r>
  <r>
    <x v="4"/>
    <x v="16"/>
    <s v="East"/>
    <x v="1"/>
    <x v="2"/>
    <x v="7"/>
    <n v="15585"/>
    <n v="3"/>
    <n v="46755"/>
    <s v="E-commerce"/>
  </r>
  <r>
    <x v="4"/>
    <x v="17"/>
    <s v="West"/>
    <x v="0"/>
    <x v="0"/>
    <x v="0"/>
    <n v="13671"/>
    <n v="10"/>
    <n v="136710"/>
    <s v="Retail"/>
  </r>
  <r>
    <x v="4"/>
    <x v="17"/>
    <s v="West"/>
    <x v="0"/>
    <x v="0"/>
    <x v="1"/>
    <n v="10785"/>
    <n v="20"/>
    <n v="215700"/>
    <s v="Wholesale"/>
  </r>
  <r>
    <x v="4"/>
    <x v="17"/>
    <s v="West"/>
    <x v="0"/>
    <x v="0"/>
    <x v="2"/>
    <n v="14445"/>
    <n v="30"/>
    <n v="433350"/>
    <s v="Retail"/>
  </r>
  <r>
    <x v="4"/>
    <x v="17"/>
    <s v="West"/>
    <x v="0"/>
    <x v="0"/>
    <x v="3"/>
    <n v="13221"/>
    <n v="15"/>
    <n v="198315"/>
    <s v="Retail"/>
  </r>
  <r>
    <x v="4"/>
    <x v="17"/>
    <s v="West"/>
    <x v="1"/>
    <x v="1"/>
    <x v="4"/>
    <n v="18047"/>
    <n v="2"/>
    <n v="36094"/>
    <s v="E-commerce"/>
  </r>
  <r>
    <x v="4"/>
    <x v="17"/>
    <s v="West"/>
    <x v="1"/>
    <x v="1"/>
    <x v="5"/>
    <n v="17995"/>
    <n v="2"/>
    <n v="35990"/>
    <s v="Wholesale"/>
  </r>
  <r>
    <x v="4"/>
    <x v="17"/>
    <s v="West"/>
    <x v="1"/>
    <x v="1"/>
    <x v="6"/>
    <n v="9930"/>
    <n v="5"/>
    <n v="49650"/>
    <s v="E-commerce"/>
  </r>
  <r>
    <x v="4"/>
    <x v="17"/>
    <s v="West"/>
    <x v="1"/>
    <x v="2"/>
    <x v="7"/>
    <n v="16019"/>
    <n v="3"/>
    <n v="48057"/>
    <s v="Wholesale"/>
  </r>
  <r>
    <x v="4"/>
    <x v="18"/>
    <s v="West"/>
    <x v="0"/>
    <x v="0"/>
    <x v="0"/>
    <n v="6134"/>
    <n v="10"/>
    <n v="61340"/>
    <s v="Retail"/>
  </r>
  <r>
    <x v="4"/>
    <x v="18"/>
    <s v="West"/>
    <x v="0"/>
    <x v="0"/>
    <x v="1"/>
    <n v="14127"/>
    <n v="20"/>
    <n v="282540"/>
    <s v="Retail"/>
  </r>
  <r>
    <x v="4"/>
    <x v="18"/>
    <s v="West"/>
    <x v="0"/>
    <x v="0"/>
    <x v="2"/>
    <n v="5570"/>
    <n v="30"/>
    <n v="167100"/>
    <s v="Wholesale"/>
  </r>
  <r>
    <x v="4"/>
    <x v="18"/>
    <s v="West"/>
    <x v="0"/>
    <x v="0"/>
    <x v="3"/>
    <n v="5420"/>
    <n v="15"/>
    <n v="81300"/>
    <s v="Wholesale"/>
  </r>
  <r>
    <x v="4"/>
    <x v="18"/>
    <s v="West"/>
    <x v="1"/>
    <x v="1"/>
    <x v="4"/>
    <n v="15937"/>
    <n v="2"/>
    <n v="31874"/>
    <s v="Retail"/>
  </r>
  <r>
    <x v="4"/>
    <x v="18"/>
    <s v="West"/>
    <x v="1"/>
    <x v="1"/>
    <x v="5"/>
    <n v="15410"/>
    <n v="2"/>
    <n v="30820"/>
    <s v="Wholesale"/>
  </r>
  <r>
    <x v="4"/>
    <x v="18"/>
    <s v="West"/>
    <x v="1"/>
    <x v="1"/>
    <x v="6"/>
    <n v="12142"/>
    <n v="5"/>
    <n v="60710"/>
    <s v="Retail"/>
  </r>
  <r>
    <x v="4"/>
    <x v="18"/>
    <s v="West"/>
    <x v="1"/>
    <x v="2"/>
    <x v="7"/>
    <n v="6639"/>
    <n v="3"/>
    <n v="19917"/>
    <s v="Retail"/>
  </r>
  <r>
    <x v="4"/>
    <x v="19"/>
    <s v="West"/>
    <x v="0"/>
    <x v="0"/>
    <x v="0"/>
    <n v="8757"/>
    <n v="10"/>
    <n v="87570"/>
    <s v="Wholesale"/>
  </r>
  <r>
    <x v="4"/>
    <x v="19"/>
    <s v="West"/>
    <x v="0"/>
    <x v="0"/>
    <x v="1"/>
    <n v="8000"/>
    <n v="20"/>
    <n v="160000"/>
    <s v="Retail"/>
  </r>
  <r>
    <x v="4"/>
    <x v="19"/>
    <s v="West"/>
    <x v="0"/>
    <x v="0"/>
    <x v="2"/>
    <n v="11714"/>
    <n v="30"/>
    <n v="351420"/>
    <s v="E-commerce"/>
  </r>
  <r>
    <x v="4"/>
    <x v="19"/>
    <s v="West"/>
    <x v="0"/>
    <x v="0"/>
    <x v="3"/>
    <n v="7687"/>
    <n v="15"/>
    <n v="115305"/>
    <s v="Retail"/>
  </r>
  <r>
    <x v="4"/>
    <x v="19"/>
    <s v="West"/>
    <x v="1"/>
    <x v="1"/>
    <x v="4"/>
    <n v="18386"/>
    <n v="2"/>
    <n v="36772"/>
    <s v="Wholesale"/>
  </r>
  <r>
    <x v="4"/>
    <x v="19"/>
    <s v="West"/>
    <x v="1"/>
    <x v="1"/>
    <x v="5"/>
    <n v="7536"/>
    <n v="2"/>
    <n v="15072"/>
    <s v="Retail"/>
  </r>
  <r>
    <x v="4"/>
    <x v="19"/>
    <s v="West"/>
    <x v="1"/>
    <x v="1"/>
    <x v="6"/>
    <n v="17359"/>
    <n v="5"/>
    <n v="86795"/>
    <s v="E-commerce"/>
  </r>
  <r>
    <x v="4"/>
    <x v="19"/>
    <s v="West"/>
    <x v="1"/>
    <x v="2"/>
    <x v="7"/>
    <n v="12193"/>
    <n v="3"/>
    <n v="36579"/>
    <s v="Wholesale"/>
  </r>
  <r>
    <x v="4"/>
    <x v="20"/>
    <s v="West"/>
    <x v="0"/>
    <x v="0"/>
    <x v="0"/>
    <n v="10272"/>
    <n v="10"/>
    <n v="102720"/>
    <s v="E-commerce"/>
  </r>
  <r>
    <x v="4"/>
    <x v="20"/>
    <s v="West"/>
    <x v="0"/>
    <x v="0"/>
    <x v="1"/>
    <n v="7847"/>
    <n v="20"/>
    <n v="156940"/>
    <s v="E-commerce"/>
  </r>
  <r>
    <x v="4"/>
    <x v="20"/>
    <s v="West"/>
    <x v="0"/>
    <x v="0"/>
    <x v="2"/>
    <n v="11283"/>
    <n v="30"/>
    <n v="338490"/>
    <s v="Retail"/>
  </r>
  <r>
    <x v="4"/>
    <x v="20"/>
    <s v="West"/>
    <x v="0"/>
    <x v="0"/>
    <x v="3"/>
    <n v="14588"/>
    <n v="15"/>
    <n v="218820"/>
    <s v="Wholesale"/>
  </r>
  <r>
    <x v="4"/>
    <x v="20"/>
    <s v="West"/>
    <x v="1"/>
    <x v="1"/>
    <x v="4"/>
    <n v="8076"/>
    <n v="2"/>
    <n v="16152"/>
    <s v="E-commerce"/>
  </r>
  <r>
    <x v="4"/>
    <x v="20"/>
    <s v="West"/>
    <x v="1"/>
    <x v="1"/>
    <x v="5"/>
    <n v="12887"/>
    <n v="2"/>
    <n v="25774"/>
    <s v="Wholesale"/>
  </r>
  <r>
    <x v="4"/>
    <x v="20"/>
    <s v="West"/>
    <x v="1"/>
    <x v="1"/>
    <x v="6"/>
    <n v="15462"/>
    <n v="5"/>
    <n v="77310"/>
    <s v="Wholesale"/>
  </r>
  <r>
    <x v="4"/>
    <x v="20"/>
    <s v="West"/>
    <x v="1"/>
    <x v="2"/>
    <x v="7"/>
    <n v="18064"/>
    <n v="3"/>
    <n v="54192"/>
    <s v="Retail"/>
  </r>
  <r>
    <x v="4"/>
    <x v="21"/>
    <s v="West"/>
    <x v="0"/>
    <x v="0"/>
    <x v="0"/>
    <n v="5194"/>
    <n v="10"/>
    <n v="51940"/>
    <s v="Wholesale"/>
  </r>
  <r>
    <x v="4"/>
    <x v="21"/>
    <s v="West"/>
    <x v="0"/>
    <x v="0"/>
    <x v="1"/>
    <n v="11986"/>
    <n v="20"/>
    <n v="239720"/>
    <s v="E-commerce"/>
  </r>
  <r>
    <x v="4"/>
    <x v="21"/>
    <s v="West"/>
    <x v="0"/>
    <x v="0"/>
    <x v="2"/>
    <n v="7853"/>
    <n v="30"/>
    <n v="235590"/>
    <s v="Wholesale"/>
  </r>
  <r>
    <x v="4"/>
    <x v="21"/>
    <s v="West"/>
    <x v="0"/>
    <x v="0"/>
    <x v="3"/>
    <n v="11052"/>
    <n v="15"/>
    <n v="165780"/>
    <s v="Wholesale"/>
  </r>
  <r>
    <x v="4"/>
    <x v="21"/>
    <s v="West"/>
    <x v="1"/>
    <x v="1"/>
    <x v="4"/>
    <n v="7539"/>
    <n v="2"/>
    <n v="15078"/>
    <s v="Retail"/>
  </r>
  <r>
    <x v="4"/>
    <x v="21"/>
    <s v="West"/>
    <x v="1"/>
    <x v="1"/>
    <x v="5"/>
    <n v="14643"/>
    <n v="2"/>
    <n v="29286"/>
    <s v="Retail"/>
  </r>
  <r>
    <x v="4"/>
    <x v="21"/>
    <s v="West"/>
    <x v="1"/>
    <x v="1"/>
    <x v="6"/>
    <n v="9792"/>
    <n v="5"/>
    <n v="48960"/>
    <s v="E-commerce"/>
  </r>
  <r>
    <x v="4"/>
    <x v="21"/>
    <s v="West"/>
    <x v="1"/>
    <x v="2"/>
    <x v="7"/>
    <n v="16735"/>
    <n v="3"/>
    <n v="50205"/>
    <s v="Retail"/>
  </r>
  <r>
    <x v="5"/>
    <x v="0"/>
    <s v="North"/>
    <x v="0"/>
    <x v="0"/>
    <x v="0"/>
    <n v="12778"/>
    <n v="10"/>
    <n v="127780"/>
    <s v="Wholesale"/>
  </r>
  <r>
    <x v="5"/>
    <x v="0"/>
    <s v="North"/>
    <x v="0"/>
    <x v="0"/>
    <x v="1"/>
    <n v="7169"/>
    <n v="20"/>
    <n v="143380"/>
    <s v="Wholesale"/>
  </r>
  <r>
    <x v="5"/>
    <x v="0"/>
    <s v="North"/>
    <x v="0"/>
    <x v="0"/>
    <x v="2"/>
    <n v="12804"/>
    <n v="30"/>
    <n v="384120"/>
    <s v="Retail"/>
  </r>
  <r>
    <x v="5"/>
    <x v="0"/>
    <s v="North"/>
    <x v="0"/>
    <x v="0"/>
    <x v="3"/>
    <n v="6789"/>
    <n v="15"/>
    <n v="101835"/>
    <s v="Retail"/>
  </r>
  <r>
    <x v="5"/>
    <x v="0"/>
    <s v="North"/>
    <x v="1"/>
    <x v="1"/>
    <x v="4"/>
    <n v="7917"/>
    <n v="2"/>
    <n v="15834"/>
    <s v="Wholesale"/>
  </r>
  <r>
    <x v="5"/>
    <x v="0"/>
    <s v="North"/>
    <x v="1"/>
    <x v="1"/>
    <x v="5"/>
    <n v="9407"/>
    <n v="2"/>
    <n v="18814"/>
    <s v="Wholesale"/>
  </r>
  <r>
    <x v="5"/>
    <x v="0"/>
    <s v="North"/>
    <x v="1"/>
    <x v="1"/>
    <x v="6"/>
    <n v="12373"/>
    <n v="5"/>
    <n v="61865"/>
    <s v="E-commerce"/>
  </r>
  <r>
    <x v="5"/>
    <x v="0"/>
    <s v="North"/>
    <x v="1"/>
    <x v="2"/>
    <x v="7"/>
    <n v="16469"/>
    <n v="3"/>
    <n v="49407"/>
    <s v="E-commerce"/>
  </r>
  <r>
    <x v="5"/>
    <x v="1"/>
    <s v="North"/>
    <x v="0"/>
    <x v="0"/>
    <x v="0"/>
    <n v="14695"/>
    <n v="10"/>
    <n v="146950"/>
    <s v="Retail"/>
  </r>
  <r>
    <x v="5"/>
    <x v="1"/>
    <s v="North"/>
    <x v="0"/>
    <x v="0"/>
    <x v="1"/>
    <n v="13858"/>
    <n v="20"/>
    <n v="277160"/>
    <s v="E-commerce"/>
  </r>
  <r>
    <x v="5"/>
    <x v="1"/>
    <s v="North"/>
    <x v="0"/>
    <x v="0"/>
    <x v="2"/>
    <n v="6059"/>
    <n v="30"/>
    <n v="181770"/>
    <s v="Retail"/>
  </r>
  <r>
    <x v="5"/>
    <x v="1"/>
    <s v="North"/>
    <x v="0"/>
    <x v="0"/>
    <x v="3"/>
    <n v="8514"/>
    <n v="15"/>
    <n v="127710"/>
    <s v="Retail"/>
  </r>
  <r>
    <x v="5"/>
    <x v="1"/>
    <s v="North"/>
    <x v="1"/>
    <x v="1"/>
    <x v="4"/>
    <n v="12940"/>
    <n v="2"/>
    <n v="25880"/>
    <s v="Retail"/>
  </r>
  <r>
    <x v="5"/>
    <x v="1"/>
    <s v="North"/>
    <x v="1"/>
    <x v="1"/>
    <x v="5"/>
    <n v="15560"/>
    <n v="2"/>
    <n v="31120"/>
    <s v="Wholesale"/>
  </r>
  <r>
    <x v="5"/>
    <x v="1"/>
    <s v="North"/>
    <x v="1"/>
    <x v="1"/>
    <x v="6"/>
    <n v="16688"/>
    <n v="5"/>
    <n v="83440"/>
    <s v="E-commerce"/>
  </r>
  <r>
    <x v="5"/>
    <x v="1"/>
    <s v="North"/>
    <x v="1"/>
    <x v="2"/>
    <x v="7"/>
    <n v="10207"/>
    <n v="3"/>
    <n v="30621"/>
    <s v="E-commerce"/>
  </r>
  <r>
    <x v="5"/>
    <x v="2"/>
    <s v="North"/>
    <x v="0"/>
    <x v="0"/>
    <x v="0"/>
    <n v="9264"/>
    <n v="10"/>
    <n v="92640"/>
    <s v="Wholesale"/>
  </r>
  <r>
    <x v="5"/>
    <x v="2"/>
    <s v="North"/>
    <x v="0"/>
    <x v="0"/>
    <x v="1"/>
    <n v="7581"/>
    <n v="20"/>
    <n v="151620"/>
    <s v="Wholesale"/>
  </r>
  <r>
    <x v="5"/>
    <x v="2"/>
    <s v="North"/>
    <x v="0"/>
    <x v="0"/>
    <x v="2"/>
    <n v="13919"/>
    <n v="30"/>
    <n v="417570"/>
    <s v="Wholesale"/>
  </r>
  <r>
    <x v="5"/>
    <x v="2"/>
    <s v="North"/>
    <x v="0"/>
    <x v="0"/>
    <x v="3"/>
    <n v="7196"/>
    <n v="15"/>
    <n v="107940"/>
    <s v="E-commerce"/>
  </r>
  <r>
    <x v="5"/>
    <x v="2"/>
    <s v="North"/>
    <x v="1"/>
    <x v="1"/>
    <x v="4"/>
    <n v="9809"/>
    <n v="2"/>
    <n v="19618"/>
    <s v="E-commerce"/>
  </r>
  <r>
    <x v="5"/>
    <x v="2"/>
    <s v="North"/>
    <x v="1"/>
    <x v="1"/>
    <x v="5"/>
    <n v="7152"/>
    <n v="2"/>
    <n v="14304"/>
    <s v="Wholesale"/>
  </r>
  <r>
    <x v="5"/>
    <x v="2"/>
    <s v="North"/>
    <x v="1"/>
    <x v="1"/>
    <x v="6"/>
    <n v="17904"/>
    <n v="5"/>
    <n v="89520"/>
    <s v="E-commerce"/>
  </r>
  <r>
    <x v="5"/>
    <x v="2"/>
    <s v="North"/>
    <x v="1"/>
    <x v="2"/>
    <x v="7"/>
    <n v="18090"/>
    <n v="3"/>
    <n v="54270"/>
    <s v="Retail"/>
  </r>
  <r>
    <x v="5"/>
    <x v="3"/>
    <s v="North"/>
    <x v="0"/>
    <x v="0"/>
    <x v="0"/>
    <n v="11227"/>
    <n v="10"/>
    <n v="112270"/>
    <s v="Retail"/>
  </r>
  <r>
    <x v="5"/>
    <x v="3"/>
    <s v="North"/>
    <x v="0"/>
    <x v="0"/>
    <x v="1"/>
    <n v="9135"/>
    <n v="20"/>
    <n v="182700"/>
    <s v="E-commerce"/>
  </r>
  <r>
    <x v="5"/>
    <x v="3"/>
    <s v="North"/>
    <x v="0"/>
    <x v="0"/>
    <x v="2"/>
    <n v="14563"/>
    <n v="30"/>
    <n v="436890"/>
    <s v="Wholesale"/>
  </r>
  <r>
    <x v="5"/>
    <x v="3"/>
    <s v="North"/>
    <x v="0"/>
    <x v="0"/>
    <x v="3"/>
    <n v="6607"/>
    <n v="15"/>
    <n v="99105"/>
    <s v="Wholesale"/>
  </r>
  <r>
    <x v="5"/>
    <x v="3"/>
    <s v="North"/>
    <x v="1"/>
    <x v="1"/>
    <x v="4"/>
    <n v="15681"/>
    <n v="2"/>
    <n v="31362"/>
    <s v="Retail"/>
  </r>
  <r>
    <x v="5"/>
    <x v="3"/>
    <s v="North"/>
    <x v="1"/>
    <x v="1"/>
    <x v="5"/>
    <n v="11247"/>
    <n v="2"/>
    <n v="22494"/>
    <s v="Retail"/>
  </r>
  <r>
    <x v="5"/>
    <x v="3"/>
    <s v="North"/>
    <x v="1"/>
    <x v="1"/>
    <x v="6"/>
    <n v="13028"/>
    <n v="5"/>
    <n v="65140"/>
    <s v="Wholesale"/>
  </r>
  <r>
    <x v="5"/>
    <x v="3"/>
    <s v="North"/>
    <x v="1"/>
    <x v="2"/>
    <x v="7"/>
    <n v="10722"/>
    <n v="3"/>
    <n v="32166"/>
    <s v="E-commerce"/>
  </r>
  <r>
    <x v="5"/>
    <x v="4"/>
    <s v="North"/>
    <x v="0"/>
    <x v="0"/>
    <x v="0"/>
    <n v="12886"/>
    <n v="10"/>
    <n v="128860"/>
    <s v="Retail"/>
  </r>
  <r>
    <x v="5"/>
    <x v="4"/>
    <s v="North"/>
    <x v="0"/>
    <x v="0"/>
    <x v="1"/>
    <n v="10077"/>
    <n v="20"/>
    <n v="201540"/>
    <s v="Wholesale"/>
  </r>
  <r>
    <x v="5"/>
    <x v="4"/>
    <s v="North"/>
    <x v="0"/>
    <x v="0"/>
    <x v="2"/>
    <n v="10267"/>
    <n v="30"/>
    <n v="308010"/>
    <s v="E-commerce"/>
  </r>
  <r>
    <x v="5"/>
    <x v="4"/>
    <s v="North"/>
    <x v="0"/>
    <x v="0"/>
    <x v="3"/>
    <n v="11655"/>
    <n v="15"/>
    <n v="174825"/>
    <s v="E-commerce"/>
  </r>
  <r>
    <x v="5"/>
    <x v="4"/>
    <s v="North"/>
    <x v="1"/>
    <x v="1"/>
    <x v="4"/>
    <n v="17278"/>
    <n v="2"/>
    <n v="34556"/>
    <s v="E-commerce"/>
  </r>
  <r>
    <x v="5"/>
    <x v="4"/>
    <s v="North"/>
    <x v="1"/>
    <x v="1"/>
    <x v="5"/>
    <n v="9015"/>
    <n v="2"/>
    <n v="18030"/>
    <s v="Wholesale"/>
  </r>
  <r>
    <x v="5"/>
    <x v="4"/>
    <s v="North"/>
    <x v="1"/>
    <x v="1"/>
    <x v="6"/>
    <n v="15549"/>
    <n v="5"/>
    <n v="77745"/>
    <s v="Wholesale"/>
  </r>
  <r>
    <x v="5"/>
    <x v="4"/>
    <s v="North"/>
    <x v="1"/>
    <x v="2"/>
    <x v="7"/>
    <n v="10419"/>
    <n v="3"/>
    <n v="31257"/>
    <s v="Retail"/>
  </r>
  <r>
    <x v="5"/>
    <x v="5"/>
    <s v="North"/>
    <x v="0"/>
    <x v="0"/>
    <x v="0"/>
    <n v="11585"/>
    <n v="10"/>
    <n v="115850"/>
    <s v="E-commerce"/>
  </r>
  <r>
    <x v="5"/>
    <x v="5"/>
    <s v="North"/>
    <x v="0"/>
    <x v="0"/>
    <x v="1"/>
    <n v="14471"/>
    <n v="20"/>
    <n v="289420"/>
    <s v="Retail"/>
  </r>
  <r>
    <x v="5"/>
    <x v="5"/>
    <s v="North"/>
    <x v="0"/>
    <x v="0"/>
    <x v="2"/>
    <n v="5864"/>
    <n v="30"/>
    <n v="175920"/>
    <s v="Retail"/>
  </r>
  <r>
    <x v="5"/>
    <x v="5"/>
    <s v="North"/>
    <x v="0"/>
    <x v="0"/>
    <x v="3"/>
    <n v="13632"/>
    <n v="15"/>
    <n v="204480"/>
    <s v="Wholesale"/>
  </r>
  <r>
    <x v="5"/>
    <x v="5"/>
    <s v="North"/>
    <x v="1"/>
    <x v="1"/>
    <x v="4"/>
    <n v="14251"/>
    <n v="2"/>
    <n v="28502"/>
    <s v="Retail"/>
  </r>
  <r>
    <x v="5"/>
    <x v="5"/>
    <s v="North"/>
    <x v="1"/>
    <x v="1"/>
    <x v="5"/>
    <n v="7397"/>
    <n v="2"/>
    <n v="14794"/>
    <s v="Retail"/>
  </r>
  <r>
    <x v="5"/>
    <x v="5"/>
    <s v="North"/>
    <x v="1"/>
    <x v="1"/>
    <x v="6"/>
    <n v="14054"/>
    <n v="5"/>
    <n v="70270"/>
    <s v="E-commerce"/>
  </r>
  <r>
    <x v="5"/>
    <x v="5"/>
    <s v="North"/>
    <x v="1"/>
    <x v="2"/>
    <x v="7"/>
    <n v="17749"/>
    <n v="3"/>
    <n v="53247"/>
    <s v="E-commerce"/>
  </r>
  <r>
    <x v="5"/>
    <x v="6"/>
    <s v="North"/>
    <x v="0"/>
    <x v="0"/>
    <x v="0"/>
    <n v="14459"/>
    <n v="10"/>
    <n v="144590"/>
    <s v="E-commerce"/>
  </r>
  <r>
    <x v="5"/>
    <x v="6"/>
    <s v="North"/>
    <x v="0"/>
    <x v="0"/>
    <x v="1"/>
    <n v="11408"/>
    <n v="20"/>
    <n v="228160"/>
    <s v="E-commerce"/>
  </r>
  <r>
    <x v="5"/>
    <x v="6"/>
    <s v="North"/>
    <x v="0"/>
    <x v="0"/>
    <x v="2"/>
    <n v="7741"/>
    <n v="30"/>
    <n v="232230"/>
    <s v="E-commerce"/>
  </r>
  <r>
    <x v="5"/>
    <x v="6"/>
    <s v="North"/>
    <x v="0"/>
    <x v="0"/>
    <x v="3"/>
    <n v="12192"/>
    <n v="15"/>
    <n v="182880"/>
    <s v="E-commerce"/>
  </r>
  <r>
    <x v="5"/>
    <x v="6"/>
    <s v="North"/>
    <x v="1"/>
    <x v="1"/>
    <x v="4"/>
    <n v="9131"/>
    <n v="2"/>
    <n v="18262"/>
    <s v="Wholesale"/>
  </r>
  <r>
    <x v="5"/>
    <x v="6"/>
    <s v="North"/>
    <x v="1"/>
    <x v="1"/>
    <x v="5"/>
    <n v="13414"/>
    <n v="2"/>
    <n v="26828"/>
    <s v="Retail"/>
  </r>
  <r>
    <x v="5"/>
    <x v="6"/>
    <s v="North"/>
    <x v="1"/>
    <x v="1"/>
    <x v="6"/>
    <n v="18797"/>
    <n v="5"/>
    <n v="93985"/>
    <s v="Wholesale"/>
  </r>
  <r>
    <x v="5"/>
    <x v="6"/>
    <s v="North"/>
    <x v="1"/>
    <x v="2"/>
    <x v="7"/>
    <n v="17467"/>
    <n v="3"/>
    <n v="52401"/>
    <s v="Retail"/>
  </r>
  <r>
    <x v="5"/>
    <x v="7"/>
    <s v="South"/>
    <x v="0"/>
    <x v="0"/>
    <x v="0"/>
    <n v="13952"/>
    <n v="10"/>
    <n v="139520"/>
    <s v="Retail"/>
  </r>
  <r>
    <x v="5"/>
    <x v="7"/>
    <s v="South"/>
    <x v="0"/>
    <x v="0"/>
    <x v="1"/>
    <n v="7923"/>
    <n v="20"/>
    <n v="158460"/>
    <s v="Wholesale"/>
  </r>
  <r>
    <x v="5"/>
    <x v="7"/>
    <s v="South"/>
    <x v="0"/>
    <x v="0"/>
    <x v="2"/>
    <n v="7408"/>
    <n v="30"/>
    <n v="222240"/>
    <s v="Wholesale"/>
  </r>
  <r>
    <x v="5"/>
    <x v="7"/>
    <s v="South"/>
    <x v="0"/>
    <x v="0"/>
    <x v="3"/>
    <n v="12248"/>
    <n v="15"/>
    <n v="183720"/>
    <s v="Wholesale"/>
  </r>
  <r>
    <x v="5"/>
    <x v="7"/>
    <s v="South"/>
    <x v="1"/>
    <x v="1"/>
    <x v="4"/>
    <n v="10690"/>
    <n v="2"/>
    <n v="21380"/>
    <s v="E-commerce"/>
  </r>
  <r>
    <x v="5"/>
    <x v="7"/>
    <s v="South"/>
    <x v="1"/>
    <x v="1"/>
    <x v="5"/>
    <n v="9526"/>
    <n v="2"/>
    <n v="19052"/>
    <s v="Retail"/>
  </r>
  <r>
    <x v="5"/>
    <x v="7"/>
    <s v="South"/>
    <x v="1"/>
    <x v="1"/>
    <x v="6"/>
    <n v="15878"/>
    <n v="5"/>
    <n v="79390"/>
    <s v="Wholesale"/>
  </r>
  <r>
    <x v="5"/>
    <x v="7"/>
    <s v="South"/>
    <x v="1"/>
    <x v="2"/>
    <x v="7"/>
    <n v="18994"/>
    <n v="3"/>
    <n v="56982"/>
    <s v="Wholesale"/>
  </r>
  <r>
    <x v="5"/>
    <x v="8"/>
    <s v="South"/>
    <x v="0"/>
    <x v="0"/>
    <x v="0"/>
    <n v="10716"/>
    <n v="10"/>
    <n v="107160"/>
    <s v="Retail"/>
  </r>
  <r>
    <x v="5"/>
    <x v="8"/>
    <s v="South"/>
    <x v="0"/>
    <x v="0"/>
    <x v="1"/>
    <n v="10412"/>
    <n v="20"/>
    <n v="208240"/>
    <s v="Retail"/>
  </r>
  <r>
    <x v="5"/>
    <x v="8"/>
    <s v="South"/>
    <x v="0"/>
    <x v="0"/>
    <x v="2"/>
    <n v="5140"/>
    <n v="30"/>
    <n v="154200"/>
    <s v="Retail"/>
  </r>
  <r>
    <x v="5"/>
    <x v="8"/>
    <s v="South"/>
    <x v="0"/>
    <x v="0"/>
    <x v="3"/>
    <n v="5366"/>
    <n v="15"/>
    <n v="80490"/>
    <s v="Wholesale"/>
  </r>
  <r>
    <x v="5"/>
    <x v="8"/>
    <s v="South"/>
    <x v="1"/>
    <x v="1"/>
    <x v="4"/>
    <n v="18511"/>
    <n v="2"/>
    <n v="37022"/>
    <s v="Retail"/>
  </r>
  <r>
    <x v="5"/>
    <x v="8"/>
    <s v="South"/>
    <x v="1"/>
    <x v="1"/>
    <x v="5"/>
    <n v="13391"/>
    <n v="2"/>
    <n v="26782"/>
    <s v="Wholesale"/>
  </r>
  <r>
    <x v="5"/>
    <x v="8"/>
    <s v="South"/>
    <x v="1"/>
    <x v="1"/>
    <x v="6"/>
    <n v="13273"/>
    <n v="5"/>
    <n v="66365"/>
    <s v="Wholesale"/>
  </r>
  <r>
    <x v="5"/>
    <x v="8"/>
    <s v="South"/>
    <x v="1"/>
    <x v="2"/>
    <x v="7"/>
    <n v="16751"/>
    <n v="3"/>
    <n v="50253"/>
    <s v="E-commerce"/>
  </r>
  <r>
    <x v="5"/>
    <x v="9"/>
    <s v="South"/>
    <x v="0"/>
    <x v="0"/>
    <x v="0"/>
    <n v="14863"/>
    <n v="10"/>
    <n v="148630"/>
    <s v="E-commerce"/>
  </r>
  <r>
    <x v="5"/>
    <x v="9"/>
    <s v="South"/>
    <x v="0"/>
    <x v="0"/>
    <x v="1"/>
    <n v="8226"/>
    <n v="20"/>
    <n v="164520"/>
    <s v="Retail"/>
  </r>
  <r>
    <x v="5"/>
    <x v="9"/>
    <s v="South"/>
    <x v="0"/>
    <x v="0"/>
    <x v="2"/>
    <n v="8915"/>
    <n v="30"/>
    <n v="267450"/>
    <s v="Wholesale"/>
  </r>
  <r>
    <x v="5"/>
    <x v="9"/>
    <s v="South"/>
    <x v="0"/>
    <x v="0"/>
    <x v="3"/>
    <n v="7883"/>
    <n v="15"/>
    <n v="118245"/>
    <s v="Wholesale"/>
  </r>
  <r>
    <x v="5"/>
    <x v="9"/>
    <s v="South"/>
    <x v="1"/>
    <x v="1"/>
    <x v="4"/>
    <n v="15125"/>
    <n v="2"/>
    <n v="30250"/>
    <s v="E-commerce"/>
  </r>
  <r>
    <x v="5"/>
    <x v="9"/>
    <s v="South"/>
    <x v="1"/>
    <x v="1"/>
    <x v="5"/>
    <n v="17061"/>
    <n v="2"/>
    <n v="34122"/>
    <s v="Wholesale"/>
  </r>
  <r>
    <x v="5"/>
    <x v="9"/>
    <s v="South"/>
    <x v="1"/>
    <x v="1"/>
    <x v="6"/>
    <n v="19726"/>
    <n v="5"/>
    <n v="98630"/>
    <s v="Retail"/>
  </r>
  <r>
    <x v="5"/>
    <x v="9"/>
    <s v="South"/>
    <x v="1"/>
    <x v="2"/>
    <x v="7"/>
    <n v="10295"/>
    <n v="3"/>
    <n v="30885"/>
    <s v="E-commerce"/>
  </r>
  <r>
    <x v="5"/>
    <x v="10"/>
    <s v="South"/>
    <x v="0"/>
    <x v="0"/>
    <x v="0"/>
    <n v="14479"/>
    <n v="10"/>
    <n v="144790"/>
    <s v="E-commerce"/>
  </r>
  <r>
    <x v="5"/>
    <x v="10"/>
    <s v="South"/>
    <x v="0"/>
    <x v="0"/>
    <x v="1"/>
    <n v="5569"/>
    <n v="20"/>
    <n v="111380"/>
    <s v="Retail"/>
  </r>
  <r>
    <x v="5"/>
    <x v="10"/>
    <s v="South"/>
    <x v="0"/>
    <x v="0"/>
    <x v="2"/>
    <n v="6739"/>
    <n v="30"/>
    <n v="202170"/>
    <s v="Wholesale"/>
  </r>
  <r>
    <x v="5"/>
    <x v="10"/>
    <s v="South"/>
    <x v="0"/>
    <x v="0"/>
    <x v="3"/>
    <n v="10558"/>
    <n v="15"/>
    <n v="158370"/>
    <s v="E-commerce"/>
  </r>
  <r>
    <x v="5"/>
    <x v="10"/>
    <s v="South"/>
    <x v="1"/>
    <x v="1"/>
    <x v="4"/>
    <n v="20520"/>
    <n v="2"/>
    <n v="41040"/>
    <s v="Retail"/>
  </r>
  <r>
    <x v="5"/>
    <x v="10"/>
    <s v="South"/>
    <x v="1"/>
    <x v="1"/>
    <x v="5"/>
    <n v="15599"/>
    <n v="2"/>
    <n v="31198"/>
    <s v="E-commerce"/>
  </r>
  <r>
    <x v="5"/>
    <x v="10"/>
    <s v="South"/>
    <x v="1"/>
    <x v="1"/>
    <x v="6"/>
    <n v="11908"/>
    <n v="5"/>
    <n v="59540"/>
    <s v="Retail"/>
  </r>
  <r>
    <x v="5"/>
    <x v="10"/>
    <s v="South"/>
    <x v="1"/>
    <x v="2"/>
    <x v="7"/>
    <n v="12534"/>
    <n v="3"/>
    <n v="37602"/>
    <s v="Retail"/>
  </r>
  <r>
    <x v="5"/>
    <x v="11"/>
    <s v="South"/>
    <x v="0"/>
    <x v="0"/>
    <x v="0"/>
    <n v="7209"/>
    <n v="10"/>
    <n v="72090"/>
    <s v="E-commerce"/>
  </r>
  <r>
    <x v="5"/>
    <x v="11"/>
    <s v="South"/>
    <x v="0"/>
    <x v="0"/>
    <x v="1"/>
    <n v="12715"/>
    <n v="20"/>
    <n v="254300"/>
    <s v="Wholesale"/>
  </r>
  <r>
    <x v="5"/>
    <x v="11"/>
    <s v="South"/>
    <x v="0"/>
    <x v="0"/>
    <x v="2"/>
    <n v="6929"/>
    <n v="30"/>
    <n v="207870"/>
    <s v="Wholesale"/>
  </r>
  <r>
    <x v="5"/>
    <x v="11"/>
    <s v="South"/>
    <x v="0"/>
    <x v="0"/>
    <x v="3"/>
    <n v="12812"/>
    <n v="15"/>
    <n v="192180"/>
    <s v="Wholesale"/>
  </r>
  <r>
    <x v="5"/>
    <x v="11"/>
    <s v="South"/>
    <x v="1"/>
    <x v="1"/>
    <x v="4"/>
    <n v="12095"/>
    <n v="2"/>
    <n v="24190"/>
    <s v="Retail"/>
  </r>
  <r>
    <x v="5"/>
    <x v="11"/>
    <s v="South"/>
    <x v="1"/>
    <x v="1"/>
    <x v="5"/>
    <n v="7857"/>
    <n v="2"/>
    <n v="15714"/>
    <s v="Wholesale"/>
  </r>
  <r>
    <x v="5"/>
    <x v="11"/>
    <s v="South"/>
    <x v="1"/>
    <x v="1"/>
    <x v="6"/>
    <n v="11663"/>
    <n v="5"/>
    <n v="58315"/>
    <s v="E-commerce"/>
  </r>
  <r>
    <x v="5"/>
    <x v="11"/>
    <s v="South"/>
    <x v="1"/>
    <x v="2"/>
    <x v="7"/>
    <n v="18736"/>
    <n v="3"/>
    <n v="56208"/>
    <s v="Wholesale"/>
  </r>
  <r>
    <x v="5"/>
    <x v="12"/>
    <s v="East"/>
    <x v="0"/>
    <x v="0"/>
    <x v="0"/>
    <n v="8698"/>
    <n v="10"/>
    <n v="86980"/>
    <s v="Wholesale"/>
  </r>
  <r>
    <x v="5"/>
    <x v="12"/>
    <s v="East"/>
    <x v="0"/>
    <x v="0"/>
    <x v="1"/>
    <n v="13724"/>
    <n v="20"/>
    <n v="274480"/>
    <s v="Wholesale"/>
  </r>
  <r>
    <x v="5"/>
    <x v="12"/>
    <s v="East"/>
    <x v="0"/>
    <x v="0"/>
    <x v="2"/>
    <n v="13037"/>
    <n v="30"/>
    <n v="391110"/>
    <s v="Wholesale"/>
  </r>
  <r>
    <x v="5"/>
    <x v="12"/>
    <s v="East"/>
    <x v="0"/>
    <x v="0"/>
    <x v="3"/>
    <n v="7904"/>
    <n v="15"/>
    <n v="118560"/>
    <s v="Wholesale"/>
  </r>
  <r>
    <x v="5"/>
    <x v="12"/>
    <s v="East"/>
    <x v="1"/>
    <x v="1"/>
    <x v="4"/>
    <n v="6881"/>
    <n v="2"/>
    <n v="13762"/>
    <s v="Retail"/>
  </r>
  <r>
    <x v="5"/>
    <x v="12"/>
    <s v="East"/>
    <x v="1"/>
    <x v="1"/>
    <x v="5"/>
    <n v="12708"/>
    <n v="2"/>
    <n v="25416"/>
    <s v="E-commerce"/>
  </r>
  <r>
    <x v="5"/>
    <x v="12"/>
    <s v="East"/>
    <x v="1"/>
    <x v="1"/>
    <x v="6"/>
    <n v="18134"/>
    <n v="5"/>
    <n v="90670"/>
    <s v="Retail"/>
  </r>
  <r>
    <x v="5"/>
    <x v="12"/>
    <s v="East"/>
    <x v="1"/>
    <x v="2"/>
    <x v="7"/>
    <n v="14899"/>
    <n v="3"/>
    <n v="44697"/>
    <s v="E-commerce"/>
  </r>
  <r>
    <x v="5"/>
    <x v="13"/>
    <s v="East"/>
    <x v="0"/>
    <x v="0"/>
    <x v="0"/>
    <n v="7113"/>
    <n v="10"/>
    <n v="71130"/>
    <s v="Wholesale"/>
  </r>
  <r>
    <x v="5"/>
    <x v="13"/>
    <s v="East"/>
    <x v="0"/>
    <x v="0"/>
    <x v="1"/>
    <n v="7140"/>
    <n v="20"/>
    <n v="142800"/>
    <s v="Retail"/>
  </r>
  <r>
    <x v="5"/>
    <x v="13"/>
    <s v="East"/>
    <x v="0"/>
    <x v="0"/>
    <x v="2"/>
    <n v="6279"/>
    <n v="30"/>
    <n v="188370"/>
    <s v="E-commerce"/>
  </r>
  <r>
    <x v="5"/>
    <x v="13"/>
    <s v="East"/>
    <x v="0"/>
    <x v="0"/>
    <x v="3"/>
    <n v="5062"/>
    <n v="15"/>
    <n v="75930"/>
    <s v="Retail"/>
  </r>
  <r>
    <x v="5"/>
    <x v="13"/>
    <s v="East"/>
    <x v="1"/>
    <x v="1"/>
    <x v="4"/>
    <n v="10144"/>
    <n v="2"/>
    <n v="20288"/>
    <s v="E-commerce"/>
  </r>
  <r>
    <x v="5"/>
    <x v="13"/>
    <s v="East"/>
    <x v="1"/>
    <x v="1"/>
    <x v="5"/>
    <n v="18847"/>
    <n v="2"/>
    <n v="37694"/>
    <s v="Retail"/>
  </r>
  <r>
    <x v="5"/>
    <x v="13"/>
    <s v="East"/>
    <x v="1"/>
    <x v="1"/>
    <x v="6"/>
    <n v="14468"/>
    <n v="5"/>
    <n v="72340"/>
    <s v="Wholesale"/>
  </r>
  <r>
    <x v="5"/>
    <x v="13"/>
    <s v="East"/>
    <x v="1"/>
    <x v="2"/>
    <x v="7"/>
    <n v="18143"/>
    <n v="3"/>
    <n v="54429"/>
    <s v="E-commerce"/>
  </r>
  <r>
    <x v="5"/>
    <x v="14"/>
    <s v="East"/>
    <x v="0"/>
    <x v="0"/>
    <x v="0"/>
    <n v="14751"/>
    <n v="10"/>
    <n v="147510"/>
    <s v="Retail"/>
  </r>
  <r>
    <x v="5"/>
    <x v="14"/>
    <s v="East"/>
    <x v="0"/>
    <x v="0"/>
    <x v="1"/>
    <n v="8789"/>
    <n v="20"/>
    <n v="175780"/>
    <s v="Retail"/>
  </r>
  <r>
    <x v="5"/>
    <x v="14"/>
    <s v="East"/>
    <x v="0"/>
    <x v="0"/>
    <x v="2"/>
    <n v="10969"/>
    <n v="30"/>
    <n v="329070"/>
    <s v="Retail"/>
  </r>
  <r>
    <x v="5"/>
    <x v="14"/>
    <s v="East"/>
    <x v="0"/>
    <x v="0"/>
    <x v="3"/>
    <n v="13082"/>
    <n v="15"/>
    <n v="196230"/>
    <s v="Retail"/>
  </r>
  <r>
    <x v="5"/>
    <x v="14"/>
    <s v="East"/>
    <x v="1"/>
    <x v="1"/>
    <x v="4"/>
    <n v="11819"/>
    <n v="2"/>
    <n v="23638"/>
    <s v="Wholesale"/>
  </r>
  <r>
    <x v="5"/>
    <x v="14"/>
    <s v="East"/>
    <x v="1"/>
    <x v="1"/>
    <x v="5"/>
    <n v="13174"/>
    <n v="2"/>
    <n v="26348"/>
    <s v="Retail"/>
  </r>
  <r>
    <x v="5"/>
    <x v="14"/>
    <s v="East"/>
    <x v="1"/>
    <x v="1"/>
    <x v="6"/>
    <n v="14372"/>
    <n v="5"/>
    <n v="71860"/>
    <s v="E-commerce"/>
  </r>
  <r>
    <x v="5"/>
    <x v="14"/>
    <s v="East"/>
    <x v="1"/>
    <x v="2"/>
    <x v="7"/>
    <n v="8290"/>
    <n v="3"/>
    <n v="24870"/>
    <s v="Wholesale"/>
  </r>
  <r>
    <x v="5"/>
    <x v="15"/>
    <s v="East"/>
    <x v="0"/>
    <x v="0"/>
    <x v="0"/>
    <n v="10681"/>
    <n v="10"/>
    <n v="106810"/>
    <s v="Retail"/>
  </r>
  <r>
    <x v="5"/>
    <x v="15"/>
    <s v="East"/>
    <x v="0"/>
    <x v="0"/>
    <x v="1"/>
    <n v="8123"/>
    <n v="20"/>
    <n v="162460"/>
    <s v="Wholesale"/>
  </r>
  <r>
    <x v="5"/>
    <x v="15"/>
    <s v="East"/>
    <x v="0"/>
    <x v="0"/>
    <x v="2"/>
    <n v="7956"/>
    <n v="30"/>
    <n v="238680"/>
    <s v="Retail"/>
  </r>
  <r>
    <x v="5"/>
    <x v="15"/>
    <s v="East"/>
    <x v="0"/>
    <x v="0"/>
    <x v="3"/>
    <n v="5032"/>
    <n v="15"/>
    <n v="75480"/>
    <s v="Retail"/>
  </r>
  <r>
    <x v="5"/>
    <x v="15"/>
    <s v="East"/>
    <x v="1"/>
    <x v="1"/>
    <x v="4"/>
    <n v="13904"/>
    <n v="2"/>
    <n v="27808"/>
    <s v="Wholesale"/>
  </r>
  <r>
    <x v="5"/>
    <x v="15"/>
    <s v="East"/>
    <x v="1"/>
    <x v="1"/>
    <x v="5"/>
    <n v="12252"/>
    <n v="2"/>
    <n v="24504"/>
    <s v="E-commerce"/>
  </r>
  <r>
    <x v="5"/>
    <x v="15"/>
    <s v="East"/>
    <x v="1"/>
    <x v="1"/>
    <x v="6"/>
    <n v="6949"/>
    <n v="5"/>
    <n v="34745"/>
    <s v="E-commerce"/>
  </r>
  <r>
    <x v="5"/>
    <x v="15"/>
    <s v="East"/>
    <x v="1"/>
    <x v="2"/>
    <x v="7"/>
    <n v="12043"/>
    <n v="3"/>
    <n v="36129"/>
    <s v="E-commerce"/>
  </r>
  <r>
    <x v="5"/>
    <x v="16"/>
    <s v="East"/>
    <x v="0"/>
    <x v="0"/>
    <x v="0"/>
    <n v="9109"/>
    <n v="10"/>
    <n v="91090"/>
    <s v="Retail"/>
  </r>
  <r>
    <x v="5"/>
    <x v="16"/>
    <s v="East"/>
    <x v="0"/>
    <x v="0"/>
    <x v="1"/>
    <n v="14548"/>
    <n v="20"/>
    <n v="290960"/>
    <s v="Wholesale"/>
  </r>
  <r>
    <x v="5"/>
    <x v="16"/>
    <s v="East"/>
    <x v="0"/>
    <x v="0"/>
    <x v="2"/>
    <n v="9472"/>
    <n v="30"/>
    <n v="284160"/>
    <s v="Wholesale"/>
  </r>
  <r>
    <x v="5"/>
    <x v="16"/>
    <s v="East"/>
    <x v="0"/>
    <x v="0"/>
    <x v="3"/>
    <n v="13750"/>
    <n v="15"/>
    <n v="206250"/>
    <s v="Wholesale"/>
  </r>
  <r>
    <x v="5"/>
    <x v="16"/>
    <s v="East"/>
    <x v="1"/>
    <x v="1"/>
    <x v="4"/>
    <n v="12508"/>
    <n v="2"/>
    <n v="25016"/>
    <s v="E-commerce"/>
  </r>
  <r>
    <x v="5"/>
    <x v="16"/>
    <s v="East"/>
    <x v="1"/>
    <x v="1"/>
    <x v="5"/>
    <n v="13428"/>
    <n v="2"/>
    <n v="26856"/>
    <s v="Retail"/>
  </r>
  <r>
    <x v="5"/>
    <x v="16"/>
    <s v="East"/>
    <x v="1"/>
    <x v="1"/>
    <x v="6"/>
    <n v="13253"/>
    <n v="5"/>
    <n v="66265"/>
    <s v="Retail"/>
  </r>
  <r>
    <x v="5"/>
    <x v="16"/>
    <s v="East"/>
    <x v="1"/>
    <x v="2"/>
    <x v="7"/>
    <n v="13304"/>
    <n v="3"/>
    <n v="39912"/>
    <s v="Retail"/>
  </r>
  <r>
    <x v="5"/>
    <x v="17"/>
    <s v="West"/>
    <x v="0"/>
    <x v="0"/>
    <x v="0"/>
    <n v="14859"/>
    <n v="10"/>
    <n v="148590"/>
    <s v="E-commerce"/>
  </r>
  <r>
    <x v="5"/>
    <x v="17"/>
    <s v="West"/>
    <x v="0"/>
    <x v="0"/>
    <x v="1"/>
    <n v="9212"/>
    <n v="20"/>
    <n v="184240"/>
    <s v="Wholesale"/>
  </r>
  <r>
    <x v="5"/>
    <x v="17"/>
    <s v="West"/>
    <x v="0"/>
    <x v="0"/>
    <x v="2"/>
    <n v="12553"/>
    <n v="30"/>
    <n v="376590"/>
    <s v="Wholesale"/>
  </r>
  <r>
    <x v="5"/>
    <x v="17"/>
    <s v="West"/>
    <x v="0"/>
    <x v="0"/>
    <x v="3"/>
    <n v="12123"/>
    <n v="15"/>
    <n v="181845"/>
    <s v="Wholesale"/>
  </r>
  <r>
    <x v="5"/>
    <x v="17"/>
    <s v="West"/>
    <x v="1"/>
    <x v="1"/>
    <x v="4"/>
    <n v="7613"/>
    <n v="2"/>
    <n v="15226"/>
    <s v="E-commerce"/>
  </r>
  <r>
    <x v="5"/>
    <x v="17"/>
    <s v="West"/>
    <x v="1"/>
    <x v="1"/>
    <x v="5"/>
    <n v="17048"/>
    <n v="2"/>
    <n v="34096"/>
    <s v="Retail"/>
  </r>
  <r>
    <x v="5"/>
    <x v="17"/>
    <s v="West"/>
    <x v="1"/>
    <x v="1"/>
    <x v="6"/>
    <n v="10213"/>
    <n v="5"/>
    <n v="51065"/>
    <s v="E-commerce"/>
  </r>
  <r>
    <x v="5"/>
    <x v="17"/>
    <s v="West"/>
    <x v="1"/>
    <x v="2"/>
    <x v="7"/>
    <n v="13448"/>
    <n v="3"/>
    <n v="40344"/>
    <s v="Wholesale"/>
  </r>
  <r>
    <x v="5"/>
    <x v="18"/>
    <s v="West"/>
    <x v="0"/>
    <x v="0"/>
    <x v="0"/>
    <n v="8963"/>
    <n v="10"/>
    <n v="89630"/>
    <s v="E-commerce"/>
  </r>
  <r>
    <x v="5"/>
    <x v="18"/>
    <s v="West"/>
    <x v="0"/>
    <x v="0"/>
    <x v="1"/>
    <n v="10063"/>
    <n v="20"/>
    <n v="201260"/>
    <s v="E-commerce"/>
  </r>
  <r>
    <x v="5"/>
    <x v="18"/>
    <s v="West"/>
    <x v="0"/>
    <x v="0"/>
    <x v="2"/>
    <n v="5336"/>
    <n v="30"/>
    <n v="160080"/>
    <s v="E-commerce"/>
  </r>
  <r>
    <x v="5"/>
    <x v="18"/>
    <s v="West"/>
    <x v="0"/>
    <x v="0"/>
    <x v="3"/>
    <n v="10492"/>
    <n v="15"/>
    <n v="157380"/>
    <s v="E-commerce"/>
  </r>
  <r>
    <x v="5"/>
    <x v="18"/>
    <s v="West"/>
    <x v="1"/>
    <x v="1"/>
    <x v="4"/>
    <n v="10431"/>
    <n v="2"/>
    <n v="20862"/>
    <s v="E-commerce"/>
  </r>
  <r>
    <x v="5"/>
    <x v="18"/>
    <s v="West"/>
    <x v="1"/>
    <x v="1"/>
    <x v="5"/>
    <n v="17286"/>
    <n v="2"/>
    <n v="34572"/>
    <s v="Retail"/>
  </r>
  <r>
    <x v="5"/>
    <x v="18"/>
    <s v="West"/>
    <x v="1"/>
    <x v="1"/>
    <x v="6"/>
    <n v="9834"/>
    <n v="5"/>
    <n v="49170"/>
    <s v="E-commerce"/>
  </r>
  <r>
    <x v="5"/>
    <x v="18"/>
    <s v="West"/>
    <x v="1"/>
    <x v="2"/>
    <x v="7"/>
    <n v="14837"/>
    <n v="3"/>
    <n v="44511"/>
    <s v="E-commerce"/>
  </r>
  <r>
    <x v="5"/>
    <x v="19"/>
    <s v="West"/>
    <x v="0"/>
    <x v="0"/>
    <x v="0"/>
    <n v="8231"/>
    <n v="10"/>
    <n v="82310"/>
    <s v="Wholesale"/>
  </r>
  <r>
    <x v="5"/>
    <x v="19"/>
    <s v="West"/>
    <x v="0"/>
    <x v="0"/>
    <x v="1"/>
    <n v="12979"/>
    <n v="20"/>
    <n v="259580"/>
    <s v="Wholesale"/>
  </r>
  <r>
    <x v="5"/>
    <x v="19"/>
    <s v="West"/>
    <x v="0"/>
    <x v="0"/>
    <x v="2"/>
    <n v="11549"/>
    <n v="30"/>
    <n v="346470"/>
    <s v="E-commerce"/>
  </r>
  <r>
    <x v="5"/>
    <x v="19"/>
    <s v="West"/>
    <x v="0"/>
    <x v="0"/>
    <x v="3"/>
    <n v="7482"/>
    <n v="15"/>
    <n v="112230"/>
    <s v="E-commerce"/>
  </r>
  <r>
    <x v="5"/>
    <x v="19"/>
    <s v="West"/>
    <x v="1"/>
    <x v="1"/>
    <x v="4"/>
    <n v="15743"/>
    <n v="2"/>
    <n v="31486"/>
    <s v="E-commerce"/>
  </r>
  <r>
    <x v="5"/>
    <x v="19"/>
    <s v="West"/>
    <x v="1"/>
    <x v="1"/>
    <x v="5"/>
    <n v="14188"/>
    <n v="2"/>
    <n v="28376"/>
    <s v="E-commerce"/>
  </r>
  <r>
    <x v="5"/>
    <x v="19"/>
    <s v="West"/>
    <x v="1"/>
    <x v="1"/>
    <x v="6"/>
    <n v="15490"/>
    <n v="5"/>
    <n v="77450"/>
    <s v="E-commerce"/>
  </r>
  <r>
    <x v="5"/>
    <x v="19"/>
    <s v="West"/>
    <x v="1"/>
    <x v="2"/>
    <x v="7"/>
    <n v="14111"/>
    <n v="3"/>
    <n v="42333"/>
    <s v="Wholesale"/>
  </r>
  <r>
    <x v="5"/>
    <x v="20"/>
    <s v="West"/>
    <x v="0"/>
    <x v="0"/>
    <x v="0"/>
    <n v="11744"/>
    <n v="10"/>
    <n v="117440"/>
    <s v="E-commerce"/>
  </r>
  <r>
    <x v="5"/>
    <x v="20"/>
    <s v="West"/>
    <x v="0"/>
    <x v="0"/>
    <x v="1"/>
    <n v="14617"/>
    <n v="20"/>
    <n v="292340"/>
    <s v="Wholesale"/>
  </r>
  <r>
    <x v="5"/>
    <x v="20"/>
    <s v="West"/>
    <x v="0"/>
    <x v="0"/>
    <x v="2"/>
    <n v="10988"/>
    <n v="30"/>
    <n v="329640"/>
    <s v="Wholesale"/>
  </r>
  <r>
    <x v="5"/>
    <x v="20"/>
    <s v="West"/>
    <x v="0"/>
    <x v="0"/>
    <x v="3"/>
    <n v="13429"/>
    <n v="15"/>
    <n v="201435"/>
    <s v="E-commerce"/>
  </r>
  <r>
    <x v="5"/>
    <x v="20"/>
    <s v="West"/>
    <x v="1"/>
    <x v="1"/>
    <x v="4"/>
    <n v="12628"/>
    <n v="2"/>
    <n v="25256"/>
    <s v="E-commerce"/>
  </r>
  <r>
    <x v="5"/>
    <x v="20"/>
    <s v="West"/>
    <x v="1"/>
    <x v="1"/>
    <x v="5"/>
    <n v="14872"/>
    <n v="2"/>
    <n v="29744"/>
    <s v="E-commerce"/>
  </r>
  <r>
    <x v="5"/>
    <x v="20"/>
    <s v="West"/>
    <x v="1"/>
    <x v="1"/>
    <x v="6"/>
    <n v="6493"/>
    <n v="5"/>
    <n v="32465"/>
    <s v="Retail"/>
  </r>
  <r>
    <x v="5"/>
    <x v="20"/>
    <s v="West"/>
    <x v="1"/>
    <x v="2"/>
    <x v="7"/>
    <n v="17765"/>
    <n v="3"/>
    <n v="53295"/>
    <s v="E-commerce"/>
  </r>
  <r>
    <x v="5"/>
    <x v="21"/>
    <s v="West"/>
    <x v="0"/>
    <x v="0"/>
    <x v="0"/>
    <n v="14472"/>
    <n v="10"/>
    <n v="144720"/>
    <s v="E-commerce"/>
  </r>
  <r>
    <x v="5"/>
    <x v="21"/>
    <s v="West"/>
    <x v="0"/>
    <x v="0"/>
    <x v="1"/>
    <n v="7991"/>
    <n v="20"/>
    <n v="159820"/>
    <s v="E-commerce"/>
  </r>
  <r>
    <x v="5"/>
    <x v="21"/>
    <s v="West"/>
    <x v="0"/>
    <x v="0"/>
    <x v="2"/>
    <n v="14907"/>
    <n v="30"/>
    <n v="447210"/>
    <s v="Wholesale"/>
  </r>
  <r>
    <x v="5"/>
    <x v="21"/>
    <s v="West"/>
    <x v="0"/>
    <x v="0"/>
    <x v="3"/>
    <n v="6607"/>
    <n v="15"/>
    <n v="99105"/>
    <s v="E-commerce"/>
  </r>
  <r>
    <x v="5"/>
    <x v="21"/>
    <s v="West"/>
    <x v="1"/>
    <x v="1"/>
    <x v="4"/>
    <n v="15864"/>
    <n v="2"/>
    <n v="31728"/>
    <s v="Wholesale"/>
  </r>
  <r>
    <x v="5"/>
    <x v="21"/>
    <s v="West"/>
    <x v="1"/>
    <x v="1"/>
    <x v="5"/>
    <n v="17325"/>
    <n v="2"/>
    <n v="34650"/>
    <s v="Retail"/>
  </r>
  <r>
    <x v="5"/>
    <x v="21"/>
    <s v="West"/>
    <x v="1"/>
    <x v="1"/>
    <x v="6"/>
    <n v="18181"/>
    <n v="5"/>
    <n v="90905"/>
    <s v="Wholesale"/>
  </r>
  <r>
    <x v="5"/>
    <x v="21"/>
    <s v="West"/>
    <x v="1"/>
    <x v="2"/>
    <x v="7"/>
    <n v="14490"/>
    <n v="3"/>
    <n v="43470"/>
    <s v="Retail"/>
  </r>
  <r>
    <x v="6"/>
    <x v="0"/>
    <s v="North"/>
    <x v="0"/>
    <x v="0"/>
    <x v="0"/>
    <n v="11773"/>
    <n v="10"/>
    <n v="117730"/>
    <s v="Retail"/>
  </r>
  <r>
    <x v="6"/>
    <x v="0"/>
    <s v="North"/>
    <x v="0"/>
    <x v="0"/>
    <x v="1"/>
    <n v="10236"/>
    <n v="20"/>
    <n v="204720"/>
    <s v="Retail"/>
  </r>
  <r>
    <x v="6"/>
    <x v="0"/>
    <s v="North"/>
    <x v="0"/>
    <x v="0"/>
    <x v="2"/>
    <n v="13074"/>
    <n v="30"/>
    <n v="392220"/>
    <s v="Wholesale"/>
  </r>
  <r>
    <x v="6"/>
    <x v="0"/>
    <s v="North"/>
    <x v="0"/>
    <x v="0"/>
    <x v="3"/>
    <n v="9580"/>
    <n v="15"/>
    <n v="143700"/>
    <s v="E-commerce"/>
  </r>
  <r>
    <x v="6"/>
    <x v="0"/>
    <s v="North"/>
    <x v="1"/>
    <x v="1"/>
    <x v="4"/>
    <n v="9041"/>
    <n v="2"/>
    <n v="18082"/>
    <s v="E-commerce"/>
  </r>
  <r>
    <x v="6"/>
    <x v="0"/>
    <s v="North"/>
    <x v="1"/>
    <x v="1"/>
    <x v="5"/>
    <n v="9736"/>
    <n v="2"/>
    <n v="19472"/>
    <s v="Wholesale"/>
  </r>
  <r>
    <x v="6"/>
    <x v="0"/>
    <s v="North"/>
    <x v="1"/>
    <x v="1"/>
    <x v="6"/>
    <n v="14691"/>
    <n v="5"/>
    <n v="73455"/>
    <s v="Wholesale"/>
  </r>
  <r>
    <x v="6"/>
    <x v="0"/>
    <s v="North"/>
    <x v="1"/>
    <x v="2"/>
    <x v="7"/>
    <n v="9907"/>
    <n v="3"/>
    <n v="29721"/>
    <s v="Wholesale"/>
  </r>
  <r>
    <x v="6"/>
    <x v="1"/>
    <s v="North"/>
    <x v="0"/>
    <x v="0"/>
    <x v="0"/>
    <n v="12133"/>
    <n v="10"/>
    <n v="121330"/>
    <s v="Retail"/>
  </r>
  <r>
    <x v="6"/>
    <x v="1"/>
    <s v="North"/>
    <x v="0"/>
    <x v="0"/>
    <x v="1"/>
    <n v="10040"/>
    <n v="20"/>
    <n v="200800"/>
    <s v="E-commerce"/>
  </r>
  <r>
    <x v="6"/>
    <x v="1"/>
    <s v="North"/>
    <x v="0"/>
    <x v="0"/>
    <x v="2"/>
    <n v="11865"/>
    <n v="30"/>
    <n v="355950"/>
    <s v="Wholesale"/>
  </r>
  <r>
    <x v="6"/>
    <x v="1"/>
    <s v="North"/>
    <x v="0"/>
    <x v="0"/>
    <x v="3"/>
    <n v="6976"/>
    <n v="15"/>
    <n v="104640"/>
    <s v="E-commerce"/>
  </r>
  <r>
    <x v="6"/>
    <x v="1"/>
    <s v="North"/>
    <x v="1"/>
    <x v="1"/>
    <x v="4"/>
    <n v="5925"/>
    <n v="2"/>
    <n v="11850"/>
    <s v="Retail"/>
  </r>
  <r>
    <x v="6"/>
    <x v="1"/>
    <s v="North"/>
    <x v="1"/>
    <x v="1"/>
    <x v="5"/>
    <n v="8877"/>
    <n v="2"/>
    <n v="17754"/>
    <s v="Wholesale"/>
  </r>
  <r>
    <x v="6"/>
    <x v="1"/>
    <s v="North"/>
    <x v="1"/>
    <x v="1"/>
    <x v="6"/>
    <n v="6184"/>
    <n v="5"/>
    <n v="30920"/>
    <s v="Wholesale"/>
  </r>
  <r>
    <x v="6"/>
    <x v="1"/>
    <s v="North"/>
    <x v="1"/>
    <x v="2"/>
    <x v="7"/>
    <n v="9150"/>
    <n v="3"/>
    <n v="27450"/>
    <s v="Retail"/>
  </r>
  <r>
    <x v="6"/>
    <x v="2"/>
    <s v="North"/>
    <x v="0"/>
    <x v="0"/>
    <x v="0"/>
    <n v="13274"/>
    <n v="10"/>
    <n v="132740"/>
    <s v="Retail"/>
  </r>
  <r>
    <x v="6"/>
    <x v="2"/>
    <s v="North"/>
    <x v="0"/>
    <x v="0"/>
    <x v="1"/>
    <n v="14368"/>
    <n v="20"/>
    <n v="287360"/>
    <s v="Retail"/>
  </r>
  <r>
    <x v="6"/>
    <x v="2"/>
    <s v="North"/>
    <x v="0"/>
    <x v="0"/>
    <x v="2"/>
    <n v="12909"/>
    <n v="30"/>
    <n v="387270"/>
    <s v="Retail"/>
  </r>
  <r>
    <x v="6"/>
    <x v="2"/>
    <s v="North"/>
    <x v="0"/>
    <x v="0"/>
    <x v="3"/>
    <n v="5610"/>
    <n v="15"/>
    <n v="84150"/>
    <s v="Retail"/>
  </r>
  <r>
    <x v="6"/>
    <x v="2"/>
    <s v="North"/>
    <x v="1"/>
    <x v="1"/>
    <x v="4"/>
    <n v="11602"/>
    <n v="2"/>
    <n v="23204"/>
    <s v="Retail"/>
  </r>
  <r>
    <x v="6"/>
    <x v="2"/>
    <s v="North"/>
    <x v="1"/>
    <x v="1"/>
    <x v="5"/>
    <n v="12169"/>
    <n v="2"/>
    <n v="24338"/>
    <s v="Wholesale"/>
  </r>
  <r>
    <x v="6"/>
    <x v="2"/>
    <s v="North"/>
    <x v="1"/>
    <x v="1"/>
    <x v="6"/>
    <n v="5204"/>
    <n v="5"/>
    <n v="26020"/>
    <s v="Retail"/>
  </r>
  <r>
    <x v="6"/>
    <x v="2"/>
    <s v="North"/>
    <x v="1"/>
    <x v="2"/>
    <x v="7"/>
    <n v="12557"/>
    <n v="3"/>
    <n v="37671"/>
    <s v="Wholesale"/>
  </r>
  <r>
    <x v="6"/>
    <x v="3"/>
    <s v="North"/>
    <x v="0"/>
    <x v="0"/>
    <x v="0"/>
    <n v="14446"/>
    <n v="10"/>
    <n v="144460"/>
    <s v="Retail"/>
  </r>
  <r>
    <x v="6"/>
    <x v="3"/>
    <s v="North"/>
    <x v="0"/>
    <x v="0"/>
    <x v="1"/>
    <n v="8167"/>
    <n v="20"/>
    <n v="163340"/>
    <s v="Retail"/>
  </r>
  <r>
    <x v="6"/>
    <x v="3"/>
    <s v="North"/>
    <x v="0"/>
    <x v="0"/>
    <x v="2"/>
    <n v="8261"/>
    <n v="30"/>
    <n v="247830"/>
    <s v="Wholesale"/>
  </r>
  <r>
    <x v="6"/>
    <x v="3"/>
    <s v="North"/>
    <x v="0"/>
    <x v="0"/>
    <x v="3"/>
    <n v="10384"/>
    <n v="15"/>
    <n v="155760"/>
    <s v="Wholesale"/>
  </r>
  <r>
    <x v="6"/>
    <x v="3"/>
    <s v="North"/>
    <x v="1"/>
    <x v="1"/>
    <x v="4"/>
    <n v="10090"/>
    <n v="2"/>
    <n v="20180"/>
    <s v="Retail"/>
  </r>
  <r>
    <x v="6"/>
    <x v="3"/>
    <s v="North"/>
    <x v="1"/>
    <x v="1"/>
    <x v="5"/>
    <n v="14267"/>
    <n v="2"/>
    <n v="28534"/>
    <s v="Retail"/>
  </r>
  <r>
    <x v="6"/>
    <x v="3"/>
    <s v="North"/>
    <x v="1"/>
    <x v="1"/>
    <x v="6"/>
    <n v="5359"/>
    <n v="5"/>
    <n v="26795"/>
    <s v="Retail"/>
  </r>
  <r>
    <x v="6"/>
    <x v="3"/>
    <s v="North"/>
    <x v="1"/>
    <x v="2"/>
    <x v="7"/>
    <n v="10350"/>
    <n v="3"/>
    <n v="31050"/>
    <s v="E-commerce"/>
  </r>
  <r>
    <x v="6"/>
    <x v="4"/>
    <s v="North"/>
    <x v="0"/>
    <x v="0"/>
    <x v="0"/>
    <n v="6926"/>
    <n v="10"/>
    <n v="69260"/>
    <s v="Wholesale"/>
  </r>
  <r>
    <x v="6"/>
    <x v="4"/>
    <s v="North"/>
    <x v="0"/>
    <x v="0"/>
    <x v="1"/>
    <n v="8672"/>
    <n v="20"/>
    <n v="173440"/>
    <s v="Retail"/>
  </r>
  <r>
    <x v="6"/>
    <x v="4"/>
    <s v="North"/>
    <x v="0"/>
    <x v="0"/>
    <x v="2"/>
    <n v="13275"/>
    <n v="30"/>
    <n v="398250"/>
    <s v="Wholesale"/>
  </r>
  <r>
    <x v="6"/>
    <x v="4"/>
    <s v="North"/>
    <x v="0"/>
    <x v="0"/>
    <x v="3"/>
    <n v="11637"/>
    <n v="15"/>
    <n v="174555"/>
    <s v="Wholesale"/>
  </r>
  <r>
    <x v="6"/>
    <x v="4"/>
    <s v="North"/>
    <x v="1"/>
    <x v="1"/>
    <x v="4"/>
    <n v="8000"/>
    <n v="2"/>
    <n v="16000"/>
    <s v="Retail"/>
  </r>
  <r>
    <x v="6"/>
    <x v="4"/>
    <s v="North"/>
    <x v="1"/>
    <x v="1"/>
    <x v="5"/>
    <n v="6552"/>
    <n v="2"/>
    <n v="13104"/>
    <s v="Retail"/>
  </r>
  <r>
    <x v="6"/>
    <x v="4"/>
    <s v="North"/>
    <x v="1"/>
    <x v="1"/>
    <x v="6"/>
    <n v="13085"/>
    <n v="5"/>
    <n v="65425"/>
    <s v="Retail"/>
  </r>
  <r>
    <x v="6"/>
    <x v="4"/>
    <s v="North"/>
    <x v="1"/>
    <x v="2"/>
    <x v="7"/>
    <n v="12439"/>
    <n v="3"/>
    <n v="37317"/>
    <s v="Retail"/>
  </r>
  <r>
    <x v="6"/>
    <x v="5"/>
    <s v="North"/>
    <x v="0"/>
    <x v="0"/>
    <x v="0"/>
    <n v="13054"/>
    <n v="10"/>
    <n v="130540"/>
    <s v="Wholesale"/>
  </r>
  <r>
    <x v="6"/>
    <x v="5"/>
    <s v="North"/>
    <x v="0"/>
    <x v="0"/>
    <x v="1"/>
    <n v="12162"/>
    <n v="20"/>
    <n v="243240"/>
    <s v="Retail"/>
  </r>
  <r>
    <x v="6"/>
    <x v="5"/>
    <s v="North"/>
    <x v="0"/>
    <x v="0"/>
    <x v="2"/>
    <n v="9189"/>
    <n v="30"/>
    <n v="275670"/>
    <s v="Wholesale"/>
  </r>
  <r>
    <x v="6"/>
    <x v="5"/>
    <s v="North"/>
    <x v="0"/>
    <x v="0"/>
    <x v="3"/>
    <n v="5015"/>
    <n v="15"/>
    <n v="75225"/>
    <s v="Wholesale"/>
  </r>
  <r>
    <x v="6"/>
    <x v="5"/>
    <s v="North"/>
    <x v="1"/>
    <x v="1"/>
    <x v="4"/>
    <n v="8608"/>
    <n v="2"/>
    <n v="17216"/>
    <s v="Wholesale"/>
  </r>
  <r>
    <x v="6"/>
    <x v="5"/>
    <s v="North"/>
    <x v="1"/>
    <x v="1"/>
    <x v="5"/>
    <n v="10473"/>
    <n v="2"/>
    <n v="20946"/>
    <s v="E-commerce"/>
  </r>
  <r>
    <x v="6"/>
    <x v="5"/>
    <s v="North"/>
    <x v="1"/>
    <x v="1"/>
    <x v="6"/>
    <n v="14794"/>
    <n v="5"/>
    <n v="73970"/>
    <s v="E-commerce"/>
  </r>
  <r>
    <x v="6"/>
    <x v="5"/>
    <s v="North"/>
    <x v="1"/>
    <x v="2"/>
    <x v="7"/>
    <n v="10032"/>
    <n v="3"/>
    <n v="30096"/>
    <s v="Retail"/>
  </r>
  <r>
    <x v="6"/>
    <x v="6"/>
    <s v="North"/>
    <x v="0"/>
    <x v="0"/>
    <x v="0"/>
    <n v="14734"/>
    <n v="10"/>
    <n v="147340"/>
    <s v="Retail"/>
  </r>
  <r>
    <x v="6"/>
    <x v="6"/>
    <s v="North"/>
    <x v="0"/>
    <x v="0"/>
    <x v="1"/>
    <n v="5068"/>
    <n v="20"/>
    <n v="101360"/>
    <s v="Retail"/>
  </r>
  <r>
    <x v="6"/>
    <x v="6"/>
    <s v="North"/>
    <x v="0"/>
    <x v="0"/>
    <x v="2"/>
    <n v="5939"/>
    <n v="30"/>
    <n v="178170"/>
    <s v="E-commerce"/>
  </r>
  <r>
    <x v="6"/>
    <x v="6"/>
    <s v="North"/>
    <x v="0"/>
    <x v="0"/>
    <x v="3"/>
    <n v="5615"/>
    <n v="15"/>
    <n v="84225"/>
    <s v="Wholesale"/>
  </r>
  <r>
    <x v="6"/>
    <x v="6"/>
    <s v="North"/>
    <x v="1"/>
    <x v="1"/>
    <x v="4"/>
    <n v="7084"/>
    <n v="2"/>
    <n v="14168"/>
    <s v="E-commerce"/>
  </r>
  <r>
    <x v="6"/>
    <x v="6"/>
    <s v="North"/>
    <x v="1"/>
    <x v="1"/>
    <x v="5"/>
    <n v="10647"/>
    <n v="2"/>
    <n v="21294"/>
    <s v="Wholesale"/>
  </r>
  <r>
    <x v="6"/>
    <x v="6"/>
    <s v="North"/>
    <x v="1"/>
    <x v="1"/>
    <x v="6"/>
    <n v="9320"/>
    <n v="5"/>
    <n v="46600"/>
    <s v="Wholesale"/>
  </r>
  <r>
    <x v="6"/>
    <x v="6"/>
    <s v="North"/>
    <x v="1"/>
    <x v="2"/>
    <x v="7"/>
    <n v="10362"/>
    <n v="3"/>
    <n v="31086"/>
    <s v="E-commerce"/>
  </r>
  <r>
    <x v="6"/>
    <x v="7"/>
    <s v="South"/>
    <x v="0"/>
    <x v="0"/>
    <x v="0"/>
    <n v="14906"/>
    <n v="10"/>
    <n v="149060"/>
    <s v="Wholesale"/>
  </r>
  <r>
    <x v="6"/>
    <x v="7"/>
    <s v="South"/>
    <x v="0"/>
    <x v="0"/>
    <x v="1"/>
    <n v="8970"/>
    <n v="20"/>
    <n v="179400"/>
    <s v="E-commerce"/>
  </r>
  <r>
    <x v="6"/>
    <x v="7"/>
    <s v="South"/>
    <x v="0"/>
    <x v="0"/>
    <x v="2"/>
    <n v="5182"/>
    <n v="30"/>
    <n v="155460"/>
    <s v="Retail"/>
  </r>
  <r>
    <x v="6"/>
    <x v="7"/>
    <s v="South"/>
    <x v="0"/>
    <x v="0"/>
    <x v="3"/>
    <n v="5835"/>
    <n v="15"/>
    <n v="87525"/>
    <s v="Retail"/>
  </r>
  <r>
    <x v="6"/>
    <x v="7"/>
    <s v="South"/>
    <x v="1"/>
    <x v="1"/>
    <x v="4"/>
    <n v="12740"/>
    <n v="2"/>
    <n v="25480"/>
    <s v="Wholesale"/>
  </r>
  <r>
    <x v="6"/>
    <x v="7"/>
    <s v="South"/>
    <x v="1"/>
    <x v="1"/>
    <x v="5"/>
    <n v="11292"/>
    <n v="2"/>
    <n v="22584"/>
    <s v="Retail"/>
  </r>
  <r>
    <x v="6"/>
    <x v="7"/>
    <s v="South"/>
    <x v="1"/>
    <x v="1"/>
    <x v="6"/>
    <n v="9761"/>
    <n v="5"/>
    <n v="48805"/>
    <s v="E-commerce"/>
  </r>
  <r>
    <x v="6"/>
    <x v="7"/>
    <s v="South"/>
    <x v="1"/>
    <x v="2"/>
    <x v="7"/>
    <n v="9569"/>
    <n v="3"/>
    <n v="28707"/>
    <s v="E-commerce"/>
  </r>
  <r>
    <x v="6"/>
    <x v="8"/>
    <s v="South"/>
    <x v="0"/>
    <x v="0"/>
    <x v="0"/>
    <n v="12952"/>
    <n v="10"/>
    <n v="129520"/>
    <s v="E-commerce"/>
  </r>
  <r>
    <x v="6"/>
    <x v="8"/>
    <s v="South"/>
    <x v="0"/>
    <x v="0"/>
    <x v="1"/>
    <n v="10616"/>
    <n v="20"/>
    <n v="212320"/>
    <s v="Wholesale"/>
  </r>
  <r>
    <x v="6"/>
    <x v="8"/>
    <s v="South"/>
    <x v="0"/>
    <x v="0"/>
    <x v="2"/>
    <n v="6114"/>
    <n v="30"/>
    <n v="183420"/>
    <s v="E-commerce"/>
  </r>
  <r>
    <x v="6"/>
    <x v="8"/>
    <s v="South"/>
    <x v="0"/>
    <x v="0"/>
    <x v="3"/>
    <n v="6655"/>
    <n v="15"/>
    <n v="99825"/>
    <s v="Retail"/>
  </r>
  <r>
    <x v="6"/>
    <x v="8"/>
    <s v="South"/>
    <x v="1"/>
    <x v="1"/>
    <x v="4"/>
    <n v="10683"/>
    <n v="2"/>
    <n v="21366"/>
    <s v="Retail"/>
  </r>
  <r>
    <x v="6"/>
    <x v="8"/>
    <s v="South"/>
    <x v="1"/>
    <x v="1"/>
    <x v="5"/>
    <n v="5963"/>
    <n v="2"/>
    <n v="11926"/>
    <s v="Wholesale"/>
  </r>
  <r>
    <x v="6"/>
    <x v="8"/>
    <s v="South"/>
    <x v="1"/>
    <x v="1"/>
    <x v="6"/>
    <n v="5225"/>
    <n v="5"/>
    <n v="26125"/>
    <s v="E-commerce"/>
  </r>
  <r>
    <x v="6"/>
    <x v="8"/>
    <s v="South"/>
    <x v="1"/>
    <x v="2"/>
    <x v="7"/>
    <n v="10167"/>
    <n v="3"/>
    <n v="30501"/>
    <s v="Wholesale"/>
  </r>
  <r>
    <x v="6"/>
    <x v="9"/>
    <s v="South"/>
    <x v="0"/>
    <x v="0"/>
    <x v="0"/>
    <n v="14138"/>
    <n v="10"/>
    <n v="141380"/>
    <s v="E-commerce"/>
  </r>
  <r>
    <x v="6"/>
    <x v="9"/>
    <s v="South"/>
    <x v="0"/>
    <x v="0"/>
    <x v="1"/>
    <n v="14692"/>
    <n v="20"/>
    <n v="293840"/>
    <s v="Wholesale"/>
  </r>
  <r>
    <x v="6"/>
    <x v="9"/>
    <s v="South"/>
    <x v="0"/>
    <x v="0"/>
    <x v="2"/>
    <n v="5401"/>
    <n v="30"/>
    <n v="162030"/>
    <s v="E-commerce"/>
  </r>
  <r>
    <x v="6"/>
    <x v="9"/>
    <s v="South"/>
    <x v="0"/>
    <x v="0"/>
    <x v="3"/>
    <n v="8026"/>
    <n v="15"/>
    <n v="120390"/>
    <s v="Retail"/>
  </r>
  <r>
    <x v="6"/>
    <x v="9"/>
    <s v="South"/>
    <x v="1"/>
    <x v="1"/>
    <x v="4"/>
    <n v="10261"/>
    <n v="2"/>
    <n v="20522"/>
    <s v="Wholesale"/>
  </r>
  <r>
    <x v="6"/>
    <x v="9"/>
    <s v="South"/>
    <x v="1"/>
    <x v="1"/>
    <x v="5"/>
    <n v="9875"/>
    <n v="2"/>
    <n v="19750"/>
    <s v="Retail"/>
  </r>
  <r>
    <x v="6"/>
    <x v="9"/>
    <s v="South"/>
    <x v="1"/>
    <x v="1"/>
    <x v="6"/>
    <n v="11217"/>
    <n v="5"/>
    <n v="56085"/>
    <s v="Retail"/>
  </r>
  <r>
    <x v="6"/>
    <x v="9"/>
    <s v="South"/>
    <x v="1"/>
    <x v="2"/>
    <x v="7"/>
    <n v="14713"/>
    <n v="3"/>
    <n v="44139"/>
    <s v="E-commerce"/>
  </r>
  <r>
    <x v="6"/>
    <x v="10"/>
    <s v="South"/>
    <x v="0"/>
    <x v="0"/>
    <x v="0"/>
    <n v="7322"/>
    <n v="10"/>
    <n v="73220"/>
    <s v="Wholesale"/>
  </r>
  <r>
    <x v="6"/>
    <x v="10"/>
    <s v="South"/>
    <x v="0"/>
    <x v="0"/>
    <x v="1"/>
    <n v="7614"/>
    <n v="20"/>
    <n v="152280"/>
    <s v="Retail"/>
  </r>
  <r>
    <x v="6"/>
    <x v="10"/>
    <s v="South"/>
    <x v="0"/>
    <x v="0"/>
    <x v="2"/>
    <n v="8087"/>
    <n v="30"/>
    <n v="242610"/>
    <s v="E-commerce"/>
  </r>
  <r>
    <x v="6"/>
    <x v="10"/>
    <s v="South"/>
    <x v="0"/>
    <x v="0"/>
    <x v="3"/>
    <n v="14346"/>
    <n v="15"/>
    <n v="215190"/>
    <s v="E-commerce"/>
  </r>
  <r>
    <x v="6"/>
    <x v="10"/>
    <s v="South"/>
    <x v="1"/>
    <x v="1"/>
    <x v="4"/>
    <n v="10420"/>
    <n v="2"/>
    <n v="20840"/>
    <s v="Wholesale"/>
  </r>
  <r>
    <x v="6"/>
    <x v="10"/>
    <s v="South"/>
    <x v="1"/>
    <x v="1"/>
    <x v="5"/>
    <n v="11845"/>
    <n v="2"/>
    <n v="23690"/>
    <s v="Retail"/>
  </r>
  <r>
    <x v="6"/>
    <x v="10"/>
    <s v="South"/>
    <x v="1"/>
    <x v="1"/>
    <x v="6"/>
    <n v="5188"/>
    <n v="5"/>
    <n v="25940"/>
    <s v="Retail"/>
  </r>
  <r>
    <x v="6"/>
    <x v="10"/>
    <s v="South"/>
    <x v="1"/>
    <x v="2"/>
    <x v="7"/>
    <n v="7171"/>
    <n v="3"/>
    <n v="21513"/>
    <s v="Wholesale"/>
  </r>
  <r>
    <x v="6"/>
    <x v="11"/>
    <s v="South"/>
    <x v="0"/>
    <x v="0"/>
    <x v="0"/>
    <n v="10673"/>
    <n v="10"/>
    <n v="106730"/>
    <s v="Retail"/>
  </r>
  <r>
    <x v="6"/>
    <x v="11"/>
    <s v="South"/>
    <x v="0"/>
    <x v="0"/>
    <x v="1"/>
    <n v="14282"/>
    <n v="20"/>
    <n v="285640"/>
    <s v="Wholesale"/>
  </r>
  <r>
    <x v="6"/>
    <x v="11"/>
    <s v="South"/>
    <x v="0"/>
    <x v="0"/>
    <x v="2"/>
    <n v="12723"/>
    <n v="30"/>
    <n v="381690"/>
    <s v="E-commerce"/>
  </r>
  <r>
    <x v="6"/>
    <x v="11"/>
    <s v="South"/>
    <x v="0"/>
    <x v="0"/>
    <x v="3"/>
    <n v="13102"/>
    <n v="15"/>
    <n v="196530"/>
    <s v="Retail"/>
  </r>
  <r>
    <x v="6"/>
    <x v="11"/>
    <s v="South"/>
    <x v="1"/>
    <x v="1"/>
    <x v="4"/>
    <n v="8778"/>
    <n v="2"/>
    <n v="17556"/>
    <s v="Wholesale"/>
  </r>
  <r>
    <x v="6"/>
    <x v="11"/>
    <s v="South"/>
    <x v="1"/>
    <x v="1"/>
    <x v="5"/>
    <n v="6161"/>
    <n v="2"/>
    <n v="12322"/>
    <s v="Wholesale"/>
  </r>
  <r>
    <x v="6"/>
    <x v="11"/>
    <s v="South"/>
    <x v="1"/>
    <x v="1"/>
    <x v="6"/>
    <n v="10411"/>
    <n v="5"/>
    <n v="52055"/>
    <s v="E-commerce"/>
  </r>
  <r>
    <x v="6"/>
    <x v="11"/>
    <s v="South"/>
    <x v="1"/>
    <x v="2"/>
    <x v="7"/>
    <n v="13132"/>
    <n v="3"/>
    <n v="39396"/>
    <s v="Retail"/>
  </r>
  <r>
    <x v="6"/>
    <x v="12"/>
    <s v="East"/>
    <x v="0"/>
    <x v="0"/>
    <x v="0"/>
    <n v="8727"/>
    <n v="10"/>
    <n v="87270"/>
    <s v="Wholesale"/>
  </r>
  <r>
    <x v="6"/>
    <x v="12"/>
    <s v="East"/>
    <x v="0"/>
    <x v="0"/>
    <x v="1"/>
    <n v="13472"/>
    <n v="20"/>
    <n v="269440"/>
    <s v="E-commerce"/>
  </r>
  <r>
    <x v="6"/>
    <x v="12"/>
    <s v="East"/>
    <x v="0"/>
    <x v="0"/>
    <x v="2"/>
    <n v="7969"/>
    <n v="30"/>
    <n v="239070"/>
    <s v="Retail"/>
  </r>
  <r>
    <x v="6"/>
    <x v="12"/>
    <s v="East"/>
    <x v="0"/>
    <x v="0"/>
    <x v="3"/>
    <n v="11099"/>
    <n v="15"/>
    <n v="166485"/>
    <s v="Wholesale"/>
  </r>
  <r>
    <x v="6"/>
    <x v="12"/>
    <s v="East"/>
    <x v="1"/>
    <x v="1"/>
    <x v="4"/>
    <n v="14844"/>
    <n v="2"/>
    <n v="29688"/>
    <s v="Wholesale"/>
  </r>
  <r>
    <x v="6"/>
    <x v="12"/>
    <s v="East"/>
    <x v="1"/>
    <x v="1"/>
    <x v="5"/>
    <n v="11195"/>
    <n v="2"/>
    <n v="22390"/>
    <s v="Retail"/>
  </r>
  <r>
    <x v="6"/>
    <x v="12"/>
    <s v="East"/>
    <x v="1"/>
    <x v="1"/>
    <x v="6"/>
    <n v="5026"/>
    <n v="5"/>
    <n v="25130"/>
    <s v="Retail"/>
  </r>
  <r>
    <x v="6"/>
    <x v="12"/>
    <s v="East"/>
    <x v="1"/>
    <x v="2"/>
    <x v="7"/>
    <n v="11497"/>
    <n v="3"/>
    <n v="34491"/>
    <s v="Wholesale"/>
  </r>
  <r>
    <x v="6"/>
    <x v="13"/>
    <s v="East"/>
    <x v="0"/>
    <x v="0"/>
    <x v="0"/>
    <n v="5056"/>
    <n v="10"/>
    <n v="50560"/>
    <s v="E-commerce"/>
  </r>
  <r>
    <x v="6"/>
    <x v="13"/>
    <s v="East"/>
    <x v="0"/>
    <x v="0"/>
    <x v="1"/>
    <n v="8334"/>
    <n v="20"/>
    <n v="166680"/>
    <s v="E-commerce"/>
  </r>
  <r>
    <x v="6"/>
    <x v="13"/>
    <s v="East"/>
    <x v="0"/>
    <x v="0"/>
    <x v="2"/>
    <n v="5091"/>
    <n v="30"/>
    <n v="152730"/>
    <s v="Wholesale"/>
  </r>
  <r>
    <x v="6"/>
    <x v="13"/>
    <s v="East"/>
    <x v="0"/>
    <x v="0"/>
    <x v="3"/>
    <n v="6629"/>
    <n v="15"/>
    <n v="99435"/>
    <s v="Retail"/>
  </r>
  <r>
    <x v="6"/>
    <x v="13"/>
    <s v="East"/>
    <x v="1"/>
    <x v="1"/>
    <x v="4"/>
    <n v="14026"/>
    <n v="2"/>
    <n v="28052"/>
    <s v="Retail"/>
  </r>
  <r>
    <x v="6"/>
    <x v="13"/>
    <s v="East"/>
    <x v="1"/>
    <x v="1"/>
    <x v="5"/>
    <n v="10903"/>
    <n v="2"/>
    <n v="21806"/>
    <s v="E-commerce"/>
  </r>
  <r>
    <x v="6"/>
    <x v="13"/>
    <s v="East"/>
    <x v="1"/>
    <x v="1"/>
    <x v="6"/>
    <n v="6963"/>
    <n v="5"/>
    <n v="34815"/>
    <s v="E-commerce"/>
  </r>
  <r>
    <x v="6"/>
    <x v="13"/>
    <s v="East"/>
    <x v="1"/>
    <x v="2"/>
    <x v="7"/>
    <n v="6300"/>
    <n v="3"/>
    <n v="18900"/>
    <s v="Retail"/>
  </r>
  <r>
    <x v="6"/>
    <x v="14"/>
    <s v="East"/>
    <x v="0"/>
    <x v="0"/>
    <x v="0"/>
    <n v="13609"/>
    <n v="10"/>
    <n v="136090"/>
    <s v="Retail"/>
  </r>
  <r>
    <x v="6"/>
    <x v="14"/>
    <s v="East"/>
    <x v="0"/>
    <x v="0"/>
    <x v="1"/>
    <n v="14047"/>
    <n v="20"/>
    <n v="280940"/>
    <s v="Retail"/>
  </r>
  <r>
    <x v="6"/>
    <x v="14"/>
    <s v="East"/>
    <x v="0"/>
    <x v="0"/>
    <x v="2"/>
    <n v="8061"/>
    <n v="30"/>
    <n v="241830"/>
    <s v="Retail"/>
  </r>
  <r>
    <x v="6"/>
    <x v="14"/>
    <s v="East"/>
    <x v="0"/>
    <x v="0"/>
    <x v="3"/>
    <n v="10630"/>
    <n v="15"/>
    <n v="159450"/>
    <s v="Retail"/>
  </r>
  <r>
    <x v="6"/>
    <x v="14"/>
    <s v="East"/>
    <x v="1"/>
    <x v="1"/>
    <x v="4"/>
    <n v="9661"/>
    <n v="2"/>
    <n v="19322"/>
    <s v="Wholesale"/>
  </r>
  <r>
    <x v="6"/>
    <x v="14"/>
    <s v="East"/>
    <x v="1"/>
    <x v="1"/>
    <x v="5"/>
    <n v="11713"/>
    <n v="2"/>
    <n v="23426"/>
    <s v="Wholesale"/>
  </r>
  <r>
    <x v="6"/>
    <x v="14"/>
    <s v="East"/>
    <x v="1"/>
    <x v="1"/>
    <x v="6"/>
    <n v="6213"/>
    <n v="5"/>
    <n v="31065"/>
    <s v="E-commerce"/>
  </r>
  <r>
    <x v="6"/>
    <x v="14"/>
    <s v="East"/>
    <x v="1"/>
    <x v="2"/>
    <x v="7"/>
    <n v="11323"/>
    <n v="3"/>
    <n v="33969"/>
    <s v="Wholesale"/>
  </r>
  <r>
    <x v="6"/>
    <x v="15"/>
    <s v="East"/>
    <x v="0"/>
    <x v="0"/>
    <x v="0"/>
    <n v="6723"/>
    <n v="10"/>
    <n v="67230"/>
    <s v="E-commerce"/>
  </r>
  <r>
    <x v="6"/>
    <x v="15"/>
    <s v="East"/>
    <x v="0"/>
    <x v="0"/>
    <x v="1"/>
    <n v="5050"/>
    <n v="20"/>
    <n v="101000"/>
    <s v="E-commerce"/>
  </r>
  <r>
    <x v="6"/>
    <x v="15"/>
    <s v="East"/>
    <x v="0"/>
    <x v="0"/>
    <x v="2"/>
    <n v="14025"/>
    <n v="30"/>
    <n v="420750"/>
    <s v="Retail"/>
  </r>
  <r>
    <x v="6"/>
    <x v="15"/>
    <s v="East"/>
    <x v="0"/>
    <x v="0"/>
    <x v="3"/>
    <n v="14604"/>
    <n v="15"/>
    <n v="219060"/>
    <s v="Retail"/>
  </r>
  <r>
    <x v="6"/>
    <x v="15"/>
    <s v="East"/>
    <x v="1"/>
    <x v="1"/>
    <x v="4"/>
    <n v="14994"/>
    <n v="2"/>
    <n v="29988"/>
    <s v="Wholesale"/>
  </r>
  <r>
    <x v="6"/>
    <x v="15"/>
    <s v="East"/>
    <x v="1"/>
    <x v="1"/>
    <x v="5"/>
    <n v="10729"/>
    <n v="2"/>
    <n v="21458"/>
    <s v="Retail"/>
  </r>
  <r>
    <x v="6"/>
    <x v="15"/>
    <s v="East"/>
    <x v="1"/>
    <x v="1"/>
    <x v="6"/>
    <n v="8283"/>
    <n v="5"/>
    <n v="41415"/>
    <s v="Retail"/>
  </r>
  <r>
    <x v="6"/>
    <x v="15"/>
    <s v="East"/>
    <x v="1"/>
    <x v="2"/>
    <x v="7"/>
    <n v="11234"/>
    <n v="3"/>
    <n v="33702"/>
    <s v="Retail"/>
  </r>
  <r>
    <x v="6"/>
    <x v="16"/>
    <s v="East"/>
    <x v="0"/>
    <x v="0"/>
    <x v="0"/>
    <n v="6865"/>
    <n v="10"/>
    <n v="68650"/>
    <s v="Retail"/>
  </r>
  <r>
    <x v="6"/>
    <x v="16"/>
    <s v="East"/>
    <x v="0"/>
    <x v="0"/>
    <x v="1"/>
    <n v="14621"/>
    <n v="20"/>
    <n v="292420"/>
    <s v="E-commerce"/>
  </r>
  <r>
    <x v="6"/>
    <x v="16"/>
    <s v="East"/>
    <x v="0"/>
    <x v="0"/>
    <x v="2"/>
    <n v="13781"/>
    <n v="30"/>
    <n v="413430"/>
    <s v="Retail"/>
  </r>
  <r>
    <x v="6"/>
    <x v="16"/>
    <s v="East"/>
    <x v="0"/>
    <x v="0"/>
    <x v="3"/>
    <n v="11984"/>
    <n v="15"/>
    <n v="179760"/>
    <s v="Wholesale"/>
  </r>
  <r>
    <x v="6"/>
    <x v="16"/>
    <s v="East"/>
    <x v="1"/>
    <x v="1"/>
    <x v="4"/>
    <n v="8111"/>
    <n v="2"/>
    <n v="16222"/>
    <s v="Retail"/>
  </r>
  <r>
    <x v="6"/>
    <x v="16"/>
    <s v="East"/>
    <x v="1"/>
    <x v="1"/>
    <x v="5"/>
    <n v="12645"/>
    <n v="2"/>
    <n v="25290"/>
    <s v="E-commerce"/>
  </r>
  <r>
    <x v="6"/>
    <x v="16"/>
    <s v="East"/>
    <x v="1"/>
    <x v="1"/>
    <x v="6"/>
    <n v="11751"/>
    <n v="5"/>
    <n v="58755"/>
    <s v="Wholesale"/>
  </r>
  <r>
    <x v="6"/>
    <x v="16"/>
    <s v="East"/>
    <x v="1"/>
    <x v="2"/>
    <x v="7"/>
    <n v="14874"/>
    <n v="3"/>
    <n v="44622"/>
    <s v="Wholesale"/>
  </r>
  <r>
    <x v="6"/>
    <x v="17"/>
    <s v="West"/>
    <x v="0"/>
    <x v="0"/>
    <x v="0"/>
    <n v="6858"/>
    <n v="10"/>
    <n v="68580"/>
    <s v="E-commerce"/>
  </r>
  <r>
    <x v="6"/>
    <x v="17"/>
    <s v="West"/>
    <x v="0"/>
    <x v="0"/>
    <x v="1"/>
    <n v="10036"/>
    <n v="20"/>
    <n v="200720"/>
    <s v="Wholesale"/>
  </r>
  <r>
    <x v="6"/>
    <x v="17"/>
    <s v="West"/>
    <x v="0"/>
    <x v="0"/>
    <x v="2"/>
    <n v="9776"/>
    <n v="30"/>
    <n v="293280"/>
    <s v="E-commerce"/>
  </r>
  <r>
    <x v="6"/>
    <x v="17"/>
    <s v="West"/>
    <x v="0"/>
    <x v="0"/>
    <x v="3"/>
    <n v="13339"/>
    <n v="15"/>
    <n v="200085"/>
    <s v="Wholesale"/>
  </r>
  <r>
    <x v="6"/>
    <x v="17"/>
    <s v="West"/>
    <x v="1"/>
    <x v="1"/>
    <x v="4"/>
    <n v="11065"/>
    <n v="2"/>
    <n v="22130"/>
    <s v="Wholesale"/>
  </r>
  <r>
    <x v="6"/>
    <x v="17"/>
    <s v="West"/>
    <x v="1"/>
    <x v="1"/>
    <x v="5"/>
    <n v="14389"/>
    <n v="2"/>
    <n v="28778"/>
    <s v="E-commerce"/>
  </r>
  <r>
    <x v="6"/>
    <x v="17"/>
    <s v="West"/>
    <x v="1"/>
    <x v="1"/>
    <x v="6"/>
    <n v="8288"/>
    <n v="5"/>
    <n v="41440"/>
    <s v="E-commerce"/>
  </r>
  <r>
    <x v="6"/>
    <x v="17"/>
    <s v="West"/>
    <x v="1"/>
    <x v="2"/>
    <x v="7"/>
    <n v="13901"/>
    <n v="3"/>
    <n v="41703"/>
    <s v="E-commerce"/>
  </r>
  <r>
    <x v="6"/>
    <x v="18"/>
    <s v="West"/>
    <x v="0"/>
    <x v="0"/>
    <x v="0"/>
    <n v="9795"/>
    <n v="10"/>
    <n v="97950"/>
    <s v="Wholesale"/>
  </r>
  <r>
    <x v="6"/>
    <x v="18"/>
    <s v="West"/>
    <x v="0"/>
    <x v="0"/>
    <x v="1"/>
    <n v="14173"/>
    <n v="20"/>
    <n v="283460"/>
    <s v="E-commerce"/>
  </r>
  <r>
    <x v="6"/>
    <x v="18"/>
    <s v="West"/>
    <x v="0"/>
    <x v="0"/>
    <x v="2"/>
    <n v="5879"/>
    <n v="30"/>
    <n v="176370"/>
    <s v="Retail"/>
  </r>
  <r>
    <x v="6"/>
    <x v="18"/>
    <s v="West"/>
    <x v="0"/>
    <x v="0"/>
    <x v="3"/>
    <n v="5917"/>
    <n v="15"/>
    <n v="88755"/>
    <s v="Wholesale"/>
  </r>
  <r>
    <x v="6"/>
    <x v="18"/>
    <s v="West"/>
    <x v="1"/>
    <x v="1"/>
    <x v="4"/>
    <n v="10753"/>
    <n v="2"/>
    <n v="21506"/>
    <s v="E-commerce"/>
  </r>
  <r>
    <x v="6"/>
    <x v="18"/>
    <s v="West"/>
    <x v="1"/>
    <x v="1"/>
    <x v="5"/>
    <n v="5921"/>
    <n v="2"/>
    <n v="11842"/>
    <s v="Wholesale"/>
  </r>
  <r>
    <x v="6"/>
    <x v="18"/>
    <s v="West"/>
    <x v="1"/>
    <x v="1"/>
    <x v="6"/>
    <n v="8995"/>
    <n v="5"/>
    <n v="44975"/>
    <s v="Retail"/>
  </r>
  <r>
    <x v="6"/>
    <x v="18"/>
    <s v="West"/>
    <x v="1"/>
    <x v="2"/>
    <x v="7"/>
    <n v="14333"/>
    <n v="3"/>
    <n v="42999"/>
    <s v="Wholesale"/>
  </r>
  <r>
    <x v="6"/>
    <x v="19"/>
    <s v="West"/>
    <x v="0"/>
    <x v="0"/>
    <x v="0"/>
    <n v="13042"/>
    <n v="10"/>
    <n v="130420"/>
    <s v="Retail"/>
  </r>
  <r>
    <x v="6"/>
    <x v="19"/>
    <s v="West"/>
    <x v="0"/>
    <x v="0"/>
    <x v="1"/>
    <n v="11260"/>
    <n v="20"/>
    <n v="225200"/>
    <s v="Retail"/>
  </r>
  <r>
    <x v="6"/>
    <x v="19"/>
    <s v="West"/>
    <x v="0"/>
    <x v="0"/>
    <x v="2"/>
    <n v="14941"/>
    <n v="30"/>
    <n v="448230"/>
    <s v="Retail"/>
  </r>
  <r>
    <x v="6"/>
    <x v="19"/>
    <s v="West"/>
    <x v="0"/>
    <x v="0"/>
    <x v="3"/>
    <n v="14121"/>
    <n v="15"/>
    <n v="211815"/>
    <s v="E-commerce"/>
  </r>
  <r>
    <x v="6"/>
    <x v="19"/>
    <s v="West"/>
    <x v="1"/>
    <x v="1"/>
    <x v="4"/>
    <n v="12351"/>
    <n v="2"/>
    <n v="24702"/>
    <s v="E-commerce"/>
  </r>
  <r>
    <x v="6"/>
    <x v="19"/>
    <s v="West"/>
    <x v="1"/>
    <x v="1"/>
    <x v="5"/>
    <n v="10909"/>
    <n v="2"/>
    <n v="21818"/>
    <s v="Wholesale"/>
  </r>
  <r>
    <x v="6"/>
    <x v="19"/>
    <s v="West"/>
    <x v="1"/>
    <x v="1"/>
    <x v="6"/>
    <n v="12142"/>
    <n v="5"/>
    <n v="60710"/>
    <s v="E-commerce"/>
  </r>
  <r>
    <x v="6"/>
    <x v="19"/>
    <s v="West"/>
    <x v="1"/>
    <x v="2"/>
    <x v="7"/>
    <n v="8332"/>
    <n v="3"/>
    <n v="24996"/>
    <s v="Retail"/>
  </r>
  <r>
    <x v="6"/>
    <x v="20"/>
    <s v="West"/>
    <x v="0"/>
    <x v="0"/>
    <x v="0"/>
    <n v="7268"/>
    <n v="10"/>
    <n v="72680"/>
    <s v="Retail"/>
  </r>
  <r>
    <x v="6"/>
    <x v="20"/>
    <s v="West"/>
    <x v="0"/>
    <x v="0"/>
    <x v="1"/>
    <n v="7279"/>
    <n v="20"/>
    <n v="145580"/>
    <s v="E-commerce"/>
  </r>
  <r>
    <x v="6"/>
    <x v="20"/>
    <s v="West"/>
    <x v="0"/>
    <x v="0"/>
    <x v="2"/>
    <n v="8316"/>
    <n v="30"/>
    <n v="249480"/>
    <s v="E-commerce"/>
  </r>
  <r>
    <x v="6"/>
    <x v="20"/>
    <s v="West"/>
    <x v="0"/>
    <x v="0"/>
    <x v="3"/>
    <n v="6804"/>
    <n v="15"/>
    <n v="102060"/>
    <s v="E-commerce"/>
  </r>
  <r>
    <x v="6"/>
    <x v="20"/>
    <s v="West"/>
    <x v="1"/>
    <x v="1"/>
    <x v="4"/>
    <n v="14089"/>
    <n v="2"/>
    <n v="28178"/>
    <s v="Wholesale"/>
  </r>
  <r>
    <x v="6"/>
    <x v="20"/>
    <s v="West"/>
    <x v="1"/>
    <x v="1"/>
    <x v="5"/>
    <n v="7087"/>
    <n v="2"/>
    <n v="14174"/>
    <s v="Retail"/>
  </r>
  <r>
    <x v="6"/>
    <x v="20"/>
    <s v="West"/>
    <x v="1"/>
    <x v="1"/>
    <x v="6"/>
    <n v="14412"/>
    <n v="5"/>
    <n v="72060"/>
    <s v="Retail"/>
  </r>
  <r>
    <x v="6"/>
    <x v="20"/>
    <s v="West"/>
    <x v="1"/>
    <x v="2"/>
    <x v="7"/>
    <n v="10930"/>
    <n v="3"/>
    <n v="32790"/>
    <s v="E-commerce"/>
  </r>
  <r>
    <x v="6"/>
    <x v="21"/>
    <s v="West"/>
    <x v="0"/>
    <x v="0"/>
    <x v="0"/>
    <n v="10247"/>
    <n v="10"/>
    <n v="102470"/>
    <s v="Retail"/>
  </r>
  <r>
    <x v="6"/>
    <x v="21"/>
    <s v="West"/>
    <x v="0"/>
    <x v="0"/>
    <x v="1"/>
    <n v="12880"/>
    <n v="20"/>
    <n v="257600"/>
    <s v="Retail"/>
  </r>
  <r>
    <x v="6"/>
    <x v="21"/>
    <s v="West"/>
    <x v="0"/>
    <x v="0"/>
    <x v="2"/>
    <n v="6112"/>
    <n v="30"/>
    <n v="183360"/>
    <s v="Wholesale"/>
  </r>
  <r>
    <x v="6"/>
    <x v="21"/>
    <s v="West"/>
    <x v="0"/>
    <x v="0"/>
    <x v="3"/>
    <n v="7901"/>
    <n v="15"/>
    <n v="118515"/>
    <s v="Retail"/>
  </r>
  <r>
    <x v="6"/>
    <x v="21"/>
    <s v="West"/>
    <x v="1"/>
    <x v="1"/>
    <x v="4"/>
    <n v="8053"/>
    <n v="2"/>
    <n v="16106"/>
    <s v="E-commerce"/>
  </r>
  <r>
    <x v="6"/>
    <x v="21"/>
    <s v="West"/>
    <x v="1"/>
    <x v="1"/>
    <x v="5"/>
    <n v="12571"/>
    <n v="2"/>
    <n v="25142"/>
    <s v="Wholesale"/>
  </r>
  <r>
    <x v="6"/>
    <x v="21"/>
    <s v="West"/>
    <x v="1"/>
    <x v="1"/>
    <x v="6"/>
    <n v="9967"/>
    <n v="5"/>
    <n v="49835"/>
    <s v="Wholesale"/>
  </r>
  <r>
    <x v="6"/>
    <x v="21"/>
    <s v="West"/>
    <x v="1"/>
    <x v="2"/>
    <x v="7"/>
    <n v="5596"/>
    <n v="3"/>
    <n v="16788"/>
    <s v="Wholesale"/>
  </r>
  <r>
    <x v="7"/>
    <x v="0"/>
    <s v="North"/>
    <x v="0"/>
    <x v="0"/>
    <x v="0"/>
    <n v="9515"/>
    <n v="10"/>
    <n v="95150"/>
    <s v="Wholesale"/>
  </r>
  <r>
    <x v="7"/>
    <x v="0"/>
    <s v="North"/>
    <x v="0"/>
    <x v="0"/>
    <x v="1"/>
    <n v="11749"/>
    <n v="20"/>
    <n v="234980"/>
    <s v="E-commerce"/>
  </r>
  <r>
    <x v="7"/>
    <x v="0"/>
    <s v="North"/>
    <x v="0"/>
    <x v="0"/>
    <x v="2"/>
    <n v="13381"/>
    <n v="30"/>
    <n v="401430"/>
    <s v="Wholesale"/>
  </r>
  <r>
    <x v="7"/>
    <x v="0"/>
    <s v="North"/>
    <x v="0"/>
    <x v="0"/>
    <x v="3"/>
    <n v="14517"/>
    <n v="15"/>
    <n v="217755"/>
    <s v="Retail"/>
  </r>
  <r>
    <x v="7"/>
    <x v="0"/>
    <s v="North"/>
    <x v="1"/>
    <x v="1"/>
    <x v="4"/>
    <n v="12531"/>
    <n v="2"/>
    <n v="25062"/>
    <s v="E-commerce"/>
  </r>
  <r>
    <x v="7"/>
    <x v="0"/>
    <s v="North"/>
    <x v="1"/>
    <x v="1"/>
    <x v="5"/>
    <n v="9824"/>
    <n v="2"/>
    <n v="19648"/>
    <s v="E-commerce"/>
  </r>
  <r>
    <x v="7"/>
    <x v="0"/>
    <s v="North"/>
    <x v="1"/>
    <x v="1"/>
    <x v="6"/>
    <n v="6834"/>
    <n v="5"/>
    <n v="34170"/>
    <s v="Retail"/>
  </r>
  <r>
    <x v="7"/>
    <x v="0"/>
    <s v="North"/>
    <x v="1"/>
    <x v="2"/>
    <x v="7"/>
    <n v="12702"/>
    <n v="3"/>
    <n v="38106"/>
    <s v="Wholesale"/>
  </r>
  <r>
    <x v="7"/>
    <x v="1"/>
    <s v="North"/>
    <x v="0"/>
    <x v="0"/>
    <x v="0"/>
    <n v="11922"/>
    <n v="10"/>
    <n v="119220"/>
    <s v="Retail"/>
  </r>
  <r>
    <x v="7"/>
    <x v="1"/>
    <s v="North"/>
    <x v="0"/>
    <x v="0"/>
    <x v="1"/>
    <n v="6338"/>
    <n v="20"/>
    <n v="126760"/>
    <s v="E-commerce"/>
  </r>
  <r>
    <x v="7"/>
    <x v="1"/>
    <s v="North"/>
    <x v="0"/>
    <x v="0"/>
    <x v="2"/>
    <n v="10746"/>
    <n v="30"/>
    <n v="322380"/>
    <s v="E-commerce"/>
  </r>
  <r>
    <x v="7"/>
    <x v="1"/>
    <s v="North"/>
    <x v="0"/>
    <x v="0"/>
    <x v="3"/>
    <n v="11535"/>
    <n v="15"/>
    <n v="173025"/>
    <s v="Wholesale"/>
  </r>
  <r>
    <x v="7"/>
    <x v="1"/>
    <s v="North"/>
    <x v="1"/>
    <x v="1"/>
    <x v="4"/>
    <n v="14892"/>
    <n v="2"/>
    <n v="29784"/>
    <s v="Retail"/>
  </r>
  <r>
    <x v="7"/>
    <x v="1"/>
    <s v="North"/>
    <x v="1"/>
    <x v="1"/>
    <x v="5"/>
    <n v="9386"/>
    <n v="2"/>
    <n v="18772"/>
    <s v="E-commerce"/>
  </r>
  <r>
    <x v="7"/>
    <x v="1"/>
    <s v="North"/>
    <x v="1"/>
    <x v="1"/>
    <x v="6"/>
    <n v="8103"/>
    <n v="5"/>
    <n v="40515"/>
    <s v="Retail"/>
  </r>
  <r>
    <x v="7"/>
    <x v="1"/>
    <s v="North"/>
    <x v="1"/>
    <x v="2"/>
    <x v="7"/>
    <n v="6363"/>
    <n v="3"/>
    <n v="19089"/>
    <s v="Retail"/>
  </r>
  <r>
    <x v="7"/>
    <x v="2"/>
    <s v="North"/>
    <x v="0"/>
    <x v="0"/>
    <x v="0"/>
    <n v="13156"/>
    <n v="10"/>
    <n v="131560"/>
    <s v="E-commerce"/>
  </r>
  <r>
    <x v="7"/>
    <x v="2"/>
    <s v="North"/>
    <x v="0"/>
    <x v="0"/>
    <x v="1"/>
    <n v="12463"/>
    <n v="20"/>
    <n v="249260"/>
    <s v="Wholesale"/>
  </r>
  <r>
    <x v="7"/>
    <x v="2"/>
    <s v="North"/>
    <x v="0"/>
    <x v="0"/>
    <x v="2"/>
    <n v="5509"/>
    <n v="30"/>
    <n v="165270"/>
    <s v="E-commerce"/>
  </r>
  <r>
    <x v="7"/>
    <x v="2"/>
    <s v="North"/>
    <x v="0"/>
    <x v="0"/>
    <x v="3"/>
    <n v="11382"/>
    <n v="15"/>
    <n v="170730"/>
    <s v="Retail"/>
  </r>
  <r>
    <x v="7"/>
    <x v="2"/>
    <s v="North"/>
    <x v="1"/>
    <x v="1"/>
    <x v="4"/>
    <n v="5877"/>
    <n v="2"/>
    <n v="11754"/>
    <s v="Retail"/>
  </r>
  <r>
    <x v="7"/>
    <x v="2"/>
    <s v="North"/>
    <x v="1"/>
    <x v="1"/>
    <x v="5"/>
    <n v="11679"/>
    <n v="2"/>
    <n v="23358"/>
    <s v="Wholesale"/>
  </r>
  <r>
    <x v="7"/>
    <x v="2"/>
    <s v="North"/>
    <x v="1"/>
    <x v="1"/>
    <x v="6"/>
    <n v="9536"/>
    <n v="5"/>
    <n v="47680"/>
    <s v="Wholesale"/>
  </r>
  <r>
    <x v="7"/>
    <x v="2"/>
    <s v="North"/>
    <x v="1"/>
    <x v="2"/>
    <x v="7"/>
    <n v="9507"/>
    <n v="3"/>
    <n v="28521"/>
    <s v="Retail"/>
  </r>
  <r>
    <x v="7"/>
    <x v="3"/>
    <s v="North"/>
    <x v="0"/>
    <x v="0"/>
    <x v="0"/>
    <n v="11163"/>
    <n v="10"/>
    <n v="111630"/>
    <s v="Wholesale"/>
  </r>
  <r>
    <x v="7"/>
    <x v="3"/>
    <s v="North"/>
    <x v="0"/>
    <x v="0"/>
    <x v="1"/>
    <n v="12992"/>
    <n v="20"/>
    <n v="259840"/>
    <s v="E-commerce"/>
  </r>
  <r>
    <x v="7"/>
    <x v="3"/>
    <s v="North"/>
    <x v="0"/>
    <x v="0"/>
    <x v="2"/>
    <n v="11110"/>
    <n v="30"/>
    <n v="333300"/>
    <s v="E-commerce"/>
  </r>
  <r>
    <x v="7"/>
    <x v="3"/>
    <s v="North"/>
    <x v="0"/>
    <x v="0"/>
    <x v="3"/>
    <n v="6440"/>
    <n v="15"/>
    <n v="96600"/>
    <s v="Wholesale"/>
  </r>
  <r>
    <x v="7"/>
    <x v="3"/>
    <s v="North"/>
    <x v="1"/>
    <x v="1"/>
    <x v="4"/>
    <n v="14141"/>
    <n v="2"/>
    <n v="28282"/>
    <s v="E-commerce"/>
  </r>
  <r>
    <x v="7"/>
    <x v="3"/>
    <s v="North"/>
    <x v="1"/>
    <x v="1"/>
    <x v="5"/>
    <n v="6085"/>
    <n v="2"/>
    <n v="12170"/>
    <s v="Retail"/>
  </r>
  <r>
    <x v="7"/>
    <x v="3"/>
    <s v="North"/>
    <x v="1"/>
    <x v="1"/>
    <x v="6"/>
    <n v="8784"/>
    <n v="5"/>
    <n v="43920"/>
    <s v="Retail"/>
  </r>
  <r>
    <x v="7"/>
    <x v="3"/>
    <s v="North"/>
    <x v="1"/>
    <x v="2"/>
    <x v="7"/>
    <n v="12550"/>
    <n v="3"/>
    <n v="37650"/>
    <s v="E-commerce"/>
  </r>
  <r>
    <x v="7"/>
    <x v="4"/>
    <s v="North"/>
    <x v="0"/>
    <x v="0"/>
    <x v="0"/>
    <n v="13045"/>
    <n v="10"/>
    <n v="130450"/>
    <s v="Retail"/>
  </r>
  <r>
    <x v="7"/>
    <x v="4"/>
    <s v="North"/>
    <x v="0"/>
    <x v="0"/>
    <x v="1"/>
    <n v="11400"/>
    <n v="20"/>
    <n v="228000"/>
    <s v="Retail"/>
  </r>
  <r>
    <x v="7"/>
    <x v="4"/>
    <s v="North"/>
    <x v="0"/>
    <x v="0"/>
    <x v="2"/>
    <n v="13226"/>
    <n v="30"/>
    <n v="396780"/>
    <s v="E-commerce"/>
  </r>
  <r>
    <x v="7"/>
    <x v="4"/>
    <s v="North"/>
    <x v="0"/>
    <x v="0"/>
    <x v="3"/>
    <n v="8036"/>
    <n v="15"/>
    <n v="120540"/>
    <s v="Retail"/>
  </r>
  <r>
    <x v="7"/>
    <x v="4"/>
    <s v="North"/>
    <x v="1"/>
    <x v="1"/>
    <x v="4"/>
    <n v="14053"/>
    <n v="2"/>
    <n v="28106"/>
    <s v="Retail"/>
  </r>
  <r>
    <x v="7"/>
    <x v="4"/>
    <s v="North"/>
    <x v="1"/>
    <x v="1"/>
    <x v="5"/>
    <n v="6314"/>
    <n v="2"/>
    <n v="12628"/>
    <s v="Retail"/>
  </r>
  <r>
    <x v="7"/>
    <x v="4"/>
    <s v="North"/>
    <x v="1"/>
    <x v="1"/>
    <x v="6"/>
    <n v="6905"/>
    <n v="5"/>
    <n v="34525"/>
    <s v="E-commerce"/>
  </r>
  <r>
    <x v="7"/>
    <x v="4"/>
    <s v="North"/>
    <x v="1"/>
    <x v="2"/>
    <x v="7"/>
    <n v="6860"/>
    <n v="3"/>
    <n v="20580"/>
    <s v="E-commerce"/>
  </r>
  <r>
    <x v="7"/>
    <x v="5"/>
    <s v="North"/>
    <x v="0"/>
    <x v="0"/>
    <x v="0"/>
    <n v="7545"/>
    <n v="10"/>
    <n v="75450"/>
    <s v="Retail"/>
  </r>
  <r>
    <x v="7"/>
    <x v="5"/>
    <s v="North"/>
    <x v="0"/>
    <x v="0"/>
    <x v="1"/>
    <n v="8665"/>
    <n v="20"/>
    <n v="173300"/>
    <s v="Retail"/>
  </r>
  <r>
    <x v="7"/>
    <x v="5"/>
    <s v="North"/>
    <x v="0"/>
    <x v="0"/>
    <x v="2"/>
    <n v="14082"/>
    <n v="30"/>
    <n v="422460"/>
    <s v="E-commerce"/>
  </r>
  <r>
    <x v="7"/>
    <x v="5"/>
    <s v="North"/>
    <x v="0"/>
    <x v="0"/>
    <x v="3"/>
    <n v="14142"/>
    <n v="15"/>
    <n v="212130"/>
    <s v="Retail"/>
  </r>
  <r>
    <x v="7"/>
    <x v="5"/>
    <s v="North"/>
    <x v="1"/>
    <x v="1"/>
    <x v="4"/>
    <n v="6818"/>
    <n v="2"/>
    <n v="13636"/>
    <s v="Retail"/>
  </r>
  <r>
    <x v="7"/>
    <x v="5"/>
    <s v="North"/>
    <x v="1"/>
    <x v="1"/>
    <x v="5"/>
    <n v="9108"/>
    <n v="2"/>
    <n v="18216"/>
    <s v="Wholesale"/>
  </r>
  <r>
    <x v="7"/>
    <x v="5"/>
    <s v="North"/>
    <x v="1"/>
    <x v="1"/>
    <x v="6"/>
    <n v="11162"/>
    <n v="5"/>
    <n v="55810"/>
    <s v="E-commerce"/>
  </r>
  <r>
    <x v="7"/>
    <x v="5"/>
    <s v="North"/>
    <x v="1"/>
    <x v="2"/>
    <x v="7"/>
    <n v="14710"/>
    <n v="3"/>
    <n v="44130"/>
    <s v="Wholesale"/>
  </r>
  <r>
    <x v="7"/>
    <x v="6"/>
    <s v="North"/>
    <x v="0"/>
    <x v="0"/>
    <x v="0"/>
    <n v="10693"/>
    <n v="10"/>
    <n v="106930"/>
    <s v="E-commerce"/>
  </r>
  <r>
    <x v="7"/>
    <x v="6"/>
    <s v="North"/>
    <x v="0"/>
    <x v="0"/>
    <x v="1"/>
    <n v="7872"/>
    <n v="20"/>
    <n v="157440"/>
    <s v="Wholesale"/>
  </r>
  <r>
    <x v="7"/>
    <x v="6"/>
    <s v="North"/>
    <x v="0"/>
    <x v="0"/>
    <x v="2"/>
    <n v="14786"/>
    <n v="30"/>
    <n v="443580"/>
    <s v="E-commerce"/>
  </r>
  <r>
    <x v="7"/>
    <x v="6"/>
    <s v="North"/>
    <x v="0"/>
    <x v="0"/>
    <x v="3"/>
    <n v="13046"/>
    <n v="15"/>
    <n v="195690"/>
    <s v="Wholesale"/>
  </r>
  <r>
    <x v="7"/>
    <x v="6"/>
    <s v="North"/>
    <x v="1"/>
    <x v="1"/>
    <x v="4"/>
    <n v="13902"/>
    <n v="2"/>
    <n v="27804"/>
    <s v="E-commerce"/>
  </r>
  <r>
    <x v="7"/>
    <x v="6"/>
    <s v="North"/>
    <x v="1"/>
    <x v="1"/>
    <x v="5"/>
    <n v="14221"/>
    <n v="2"/>
    <n v="28442"/>
    <s v="Retail"/>
  </r>
  <r>
    <x v="7"/>
    <x v="6"/>
    <s v="North"/>
    <x v="1"/>
    <x v="1"/>
    <x v="6"/>
    <n v="14658"/>
    <n v="5"/>
    <n v="73290"/>
    <s v="E-commerce"/>
  </r>
  <r>
    <x v="7"/>
    <x v="6"/>
    <s v="North"/>
    <x v="1"/>
    <x v="2"/>
    <x v="7"/>
    <n v="6207"/>
    <n v="3"/>
    <n v="18621"/>
    <s v="Wholesale"/>
  </r>
  <r>
    <x v="7"/>
    <x v="7"/>
    <s v="South"/>
    <x v="0"/>
    <x v="0"/>
    <x v="0"/>
    <n v="12207"/>
    <n v="10"/>
    <n v="122070"/>
    <s v="Wholesale"/>
  </r>
  <r>
    <x v="7"/>
    <x v="7"/>
    <s v="South"/>
    <x v="0"/>
    <x v="0"/>
    <x v="1"/>
    <n v="5101"/>
    <n v="20"/>
    <n v="102020"/>
    <s v="Wholesale"/>
  </r>
  <r>
    <x v="7"/>
    <x v="7"/>
    <s v="South"/>
    <x v="0"/>
    <x v="0"/>
    <x v="2"/>
    <n v="8459"/>
    <n v="30"/>
    <n v="253770"/>
    <s v="E-commerce"/>
  </r>
  <r>
    <x v="7"/>
    <x v="7"/>
    <s v="South"/>
    <x v="0"/>
    <x v="0"/>
    <x v="3"/>
    <n v="5615"/>
    <n v="15"/>
    <n v="84225"/>
    <s v="Wholesale"/>
  </r>
  <r>
    <x v="7"/>
    <x v="7"/>
    <s v="South"/>
    <x v="1"/>
    <x v="1"/>
    <x v="4"/>
    <n v="9601"/>
    <n v="2"/>
    <n v="19202"/>
    <s v="E-commerce"/>
  </r>
  <r>
    <x v="7"/>
    <x v="7"/>
    <s v="South"/>
    <x v="1"/>
    <x v="1"/>
    <x v="5"/>
    <n v="12360"/>
    <n v="2"/>
    <n v="24720"/>
    <s v="Retail"/>
  </r>
  <r>
    <x v="7"/>
    <x v="7"/>
    <s v="South"/>
    <x v="1"/>
    <x v="1"/>
    <x v="6"/>
    <n v="9211"/>
    <n v="5"/>
    <n v="46055"/>
    <s v="Retail"/>
  </r>
  <r>
    <x v="7"/>
    <x v="7"/>
    <s v="South"/>
    <x v="1"/>
    <x v="2"/>
    <x v="7"/>
    <n v="13817"/>
    <n v="3"/>
    <n v="41451"/>
    <s v="E-commerce"/>
  </r>
  <r>
    <x v="7"/>
    <x v="8"/>
    <s v="South"/>
    <x v="0"/>
    <x v="0"/>
    <x v="0"/>
    <n v="6339"/>
    <n v="10"/>
    <n v="63390"/>
    <s v="E-commerce"/>
  </r>
  <r>
    <x v="7"/>
    <x v="8"/>
    <s v="South"/>
    <x v="0"/>
    <x v="0"/>
    <x v="1"/>
    <n v="9387"/>
    <n v="20"/>
    <n v="187740"/>
    <s v="E-commerce"/>
  </r>
  <r>
    <x v="7"/>
    <x v="8"/>
    <s v="South"/>
    <x v="0"/>
    <x v="0"/>
    <x v="2"/>
    <n v="12543"/>
    <n v="30"/>
    <n v="376290"/>
    <s v="E-commerce"/>
  </r>
  <r>
    <x v="7"/>
    <x v="8"/>
    <s v="South"/>
    <x v="0"/>
    <x v="0"/>
    <x v="3"/>
    <n v="10526"/>
    <n v="15"/>
    <n v="157890"/>
    <s v="E-commerce"/>
  </r>
  <r>
    <x v="7"/>
    <x v="8"/>
    <s v="South"/>
    <x v="1"/>
    <x v="1"/>
    <x v="4"/>
    <n v="5717"/>
    <n v="2"/>
    <n v="11434"/>
    <s v="Retail"/>
  </r>
  <r>
    <x v="7"/>
    <x v="8"/>
    <s v="South"/>
    <x v="1"/>
    <x v="1"/>
    <x v="5"/>
    <n v="9993"/>
    <n v="2"/>
    <n v="19986"/>
    <s v="E-commerce"/>
  </r>
  <r>
    <x v="7"/>
    <x v="8"/>
    <s v="South"/>
    <x v="1"/>
    <x v="1"/>
    <x v="6"/>
    <n v="9229"/>
    <n v="5"/>
    <n v="46145"/>
    <s v="E-commerce"/>
  </r>
  <r>
    <x v="7"/>
    <x v="8"/>
    <s v="South"/>
    <x v="1"/>
    <x v="2"/>
    <x v="7"/>
    <n v="12820"/>
    <n v="3"/>
    <n v="38460"/>
    <s v="E-commerce"/>
  </r>
  <r>
    <x v="7"/>
    <x v="9"/>
    <s v="South"/>
    <x v="0"/>
    <x v="0"/>
    <x v="0"/>
    <n v="13600"/>
    <n v="10"/>
    <n v="136000"/>
    <s v="Wholesale"/>
  </r>
  <r>
    <x v="7"/>
    <x v="9"/>
    <s v="South"/>
    <x v="0"/>
    <x v="0"/>
    <x v="1"/>
    <n v="8462"/>
    <n v="20"/>
    <n v="169240"/>
    <s v="Retail"/>
  </r>
  <r>
    <x v="7"/>
    <x v="9"/>
    <s v="South"/>
    <x v="0"/>
    <x v="0"/>
    <x v="2"/>
    <n v="11300"/>
    <n v="30"/>
    <n v="339000"/>
    <s v="E-commerce"/>
  </r>
  <r>
    <x v="7"/>
    <x v="9"/>
    <s v="South"/>
    <x v="0"/>
    <x v="0"/>
    <x v="3"/>
    <n v="7938"/>
    <n v="15"/>
    <n v="119070"/>
    <s v="E-commerce"/>
  </r>
  <r>
    <x v="7"/>
    <x v="9"/>
    <s v="South"/>
    <x v="1"/>
    <x v="1"/>
    <x v="4"/>
    <n v="12111"/>
    <n v="2"/>
    <n v="24222"/>
    <s v="Wholesale"/>
  </r>
  <r>
    <x v="7"/>
    <x v="9"/>
    <s v="South"/>
    <x v="1"/>
    <x v="1"/>
    <x v="5"/>
    <n v="13878"/>
    <n v="2"/>
    <n v="27756"/>
    <s v="Wholesale"/>
  </r>
  <r>
    <x v="7"/>
    <x v="9"/>
    <s v="South"/>
    <x v="1"/>
    <x v="1"/>
    <x v="6"/>
    <n v="12991"/>
    <n v="5"/>
    <n v="64955"/>
    <s v="Retail"/>
  </r>
  <r>
    <x v="7"/>
    <x v="9"/>
    <s v="South"/>
    <x v="1"/>
    <x v="2"/>
    <x v="7"/>
    <n v="11385"/>
    <n v="3"/>
    <n v="34155"/>
    <s v="E-commerce"/>
  </r>
  <r>
    <x v="7"/>
    <x v="10"/>
    <s v="South"/>
    <x v="0"/>
    <x v="0"/>
    <x v="0"/>
    <n v="5117"/>
    <n v="10"/>
    <n v="51170"/>
    <s v="E-commerce"/>
  </r>
  <r>
    <x v="7"/>
    <x v="10"/>
    <s v="South"/>
    <x v="0"/>
    <x v="0"/>
    <x v="1"/>
    <n v="10200"/>
    <n v="20"/>
    <n v="204000"/>
    <s v="E-commerce"/>
  </r>
  <r>
    <x v="7"/>
    <x v="10"/>
    <s v="South"/>
    <x v="0"/>
    <x v="0"/>
    <x v="2"/>
    <n v="12787"/>
    <n v="30"/>
    <n v="383610"/>
    <s v="E-commerce"/>
  </r>
  <r>
    <x v="7"/>
    <x v="10"/>
    <s v="South"/>
    <x v="0"/>
    <x v="0"/>
    <x v="3"/>
    <n v="9084"/>
    <n v="15"/>
    <n v="136260"/>
    <s v="Wholesale"/>
  </r>
  <r>
    <x v="7"/>
    <x v="10"/>
    <s v="South"/>
    <x v="1"/>
    <x v="1"/>
    <x v="4"/>
    <n v="6407"/>
    <n v="2"/>
    <n v="12814"/>
    <s v="E-commerce"/>
  </r>
  <r>
    <x v="7"/>
    <x v="10"/>
    <s v="South"/>
    <x v="1"/>
    <x v="1"/>
    <x v="5"/>
    <n v="13394"/>
    <n v="2"/>
    <n v="26788"/>
    <s v="Retail"/>
  </r>
  <r>
    <x v="7"/>
    <x v="10"/>
    <s v="South"/>
    <x v="1"/>
    <x v="1"/>
    <x v="6"/>
    <n v="7353"/>
    <n v="5"/>
    <n v="36765"/>
    <s v="Retail"/>
  </r>
  <r>
    <x v="7"/>
    <x v="10"/>
    <s v="South"/>
    <x v="1"/>
    <x v="2"/>
    <x v="7"/>
    <n v="12724"/>
    <n v="3"/>
    <n v="38172"/>
    <s v="Wholesale"/>
  </r>
  <r>
    <x v="7"/>
    <x v="11"/>
    <s v="South"/>
    <x v="0"/>
    <x v="0"/>
    <x v="0"/>
    <n v="7268"/>
    <n v="10"/>
    <n v="72680"/>
    <s v="Retail"/>
  </r>
  <r>
    <x v="7"/>
    <x v="11"/>
    <s v="South"/>
    <x v="0"/>
    <x v="0"/>
    <x v="1"/>
    <n v="13792"/>
    <n v="20"/>
    <n v="275840"/>
    <s v="Wholesale"/>
  </r>
  <r>
    <x v="7"/>
    <x v="11"/>
    <s v="South"/>
    <x v="0"/>
    <x v="0"/>
    <x v="2"/>
    <n v="10084"/>
    <n v="30"/>
    <n v="302520"/>
    <s v="Wholesale"/>
  </r>
  <r>
    <x v="7"/>
    <x v="11"/>
    <s v="South"/>
    <x v="0"/>
    <x v="0"/>
    <x v="3"/>
    <n v="9449"/>
    <n v="15"/>
    <n v="141735"/>
    <s v="Retail"/>
  </r>
  <r>
    <x v="7"/>
    <x v="11"/>
    <s v="South"/>
    <x v="1"/>
    <x v="1"/>
    <x v="4"/>
    <n v="10430"/>
    <n v="2"/>
    <n v="20860"/>
    <s v="Wholesale"/>
  </r>
  <r>
    <x v="7"/>
    <x v="11"/>
    <s v="South"/>
    <x v="1"/>
    <x v="1"/>
    <x v="5"/>
    <n v="7839"/>
    <n v="2"/>
    <n v="15678"/>
    <s v="Wholesale"/>
  </r>
  <r>
    <x v="7"/>
    <x v="11"/>
    <s v="South"/>
    <x v="1"/>
    <x v="1"/>
    <x v="6"/>
    <n v="9510"/>
    <n v="5"/>
    <n v="47550"/>
    <s v="Wholesale"/>
  </r>
  <r>
    <x v="7"/>
    <x v="11"/>
    <s v="South"/>
    <x v="1"/>
    <x v="2"/>
    <x v="7"/>
    <n v="7914"/>
    <n v="3"/>
    <n v="23742"/>
    <s v="E-commerce"/>
  </r>
  <r>
    <x v="7"/>
    <x v="12"/>
    <s v="East"/>
    <x v="0"/>
    <x v="0"/>
    <x v="0"/>
    <n v="12833"/>
    <n v="10"/>
    <n v="128330"/>
    <s v="Wholesale"/>
  </r>
  <r>
    <x v="7"/>
    <x v="12"/>
    <s v="East"/>
    <x v="0"/>
    <x v="0"/>
    <x v="1"/>
    <n v="14318"/>
    <n v="20"/>
    <n v="286360"/>
    <s v="Retail"/>
  </r>
  <r>
    <x v="7"/>
    <x v="12"/>
    <s v="East"/>
    <x v="0"/>
    <x v="0"/>
    <x v="2"/>
    <n v="13690"/>
    <n v="30"/>
    <n v="410700"/>
    <s v="E-commerce"/>
  </r>
  <r>
    <x v="7"/>
    <x v="12"/>
    <s v="East"/>
    <x v="0"/>
    <x v="0"/>
    <x v="3"/>
    <n v="11549"/>
    <n v="15"/>
    <n v="173235"/>
    <s v="Retail"/>
  </r>
  <r>
    <x v="7"/>
    <x v="12"/>
    <s v="East"/>
    <x v="1"/>
    <x v="1"/>
    <x v="4"/>
    <n v="5274"/>
    <n v="2"/>
    <n v="10548"/>
    <s v="Retail"/>
  </r>
  <r>
    <x v="7"/>
    <x v="12"/>
    <s v="East"/>
    <x v="1"/>
    <x v="1"/>
    <x v="5"/>
    <n v="9027"/>
    <n v="2"/>
    <n v="18054"/>
    <s v="E-commerce"/>
  </r>
  <r>
    <x v="7"/>
    <x v="12"/>
    <s v="East"/>
    <x v="1"/>
    <x v="1"/>
    <x v="6"/>
    <n v="9422"/>
    <n v="5"/>
    <n v="47110"/>
    <s v="Wholesale"/>
  </r>
  <r>
    <x v="7"/>
    <x v="12"/>
    <s v="East"/>
    <x v="1"/>
    <x v="2"/>
    <x v="7"/>
    <n v="12833"/>
    <n v="3"/>
    <n v="38499"/>
    <s v="E-commerce"/>
  </r>
  <r>
    <x v="7"/>
    <x v="13"/>
    <s v="East"/>
    <x v="0"/>
    <x v="0"/>
    <x v="0"/>
    <n v="13719"/>
    <n v="10"/>
    <n v="137190"/>
    <s v="Wholesale"/>
  </r>
  <r>
    <x v="7"/>
    <x v="13"/>
    <s v="East"/>
    <x v="0"/>
    <x v="0"/>
    <x v="1"/>
    <n v="5715"/>
    <n v="20"/>
    <n v="114300"/>
    <s v="E-commerce"/>
  </r>
  <r>
    <x v="7"/>
    <x v="13"/>
    <s v="East"/>
    <x v="0"/>
    <x v="0"/>
    <x v="2"/>
    <n v="12368"/>
    <n v="30"/>
    <n v="371040"/>
    <s v="Wholesale"/>
  </r>
  <r>
    <x v="7"/>
    <x v="13"/>
    <s v="East"/>
    <x v="0"/>
    <x v="0"/>
    <x v="3"/>
    <n v="12994"/>
    <n v="15"/>
    <n v="194910"/>
    <s v="Wholesale"/>
  </r>
  <r>
    <x v="7"/>
    <x v="13"/>
    <s v="East"/>
    <x v="1"/>
    <x v="1"/>
    <x v="4"/>
    <n v="11228"/>
    <n v="2"/>
    <n v="22456"/>
    <s v="E-commerce"/>
  </r>
  <r>
    <x v="7"/>
    <x v="13"/>
    <s v="East"/>
    <x v="1"/>
    <x v="1"/>
    <x v="5"/>
    <n v="12020"/>
    <n v="2"/>
    <n v="24040"/>
    <s v="Wholesale"/>
  </r>
  <r>
    <x v="7"/>
    <x v="13"/>
    <s v="East"/>
    <x v="1"/>
    <x v="1"/>
    <x v="6"/>
    <n v="14975"/>
    <n v="5"/>
    <n v="74875"/>
    <s v="Retail"/>
  </r>
  <r>
    <x v="7"/>
    <x v="13"/>
    <s v="East"/>
    <x v="1"/>
    <x v="2"/>
    <x v="7"/>
    <n v="5613"/>
    <n v="3"/>
    <n v="16839"/>
    <s v="Wholesale"/>
  </r>
  <r>
    <x v="7"/>
    <x v="14"/>
    <s v="East"/>
    <x v="0"/>
    <x v="0"/>
    <x v="0"/>
    <n v="13694"/>
    <n v="10"/>
    <n v="136940"/>
    <s v="E-commerce"/>
  </r>
  <r>
    <x v="7"/>
    <x v="14"/>
    <s v="East"/>
    <x v="0"/>
    <x v="0"/>
    <x v="1"/>
    <n v="11829"/>
    <n v="20"/>
    <n v="236580"/>
    <s v="Wholesale"/>
  </r>
  <r>
    <x v="7"/>
    <x v="14"/>
    <s v="East"/>
    <x v="0"/>
    <x v="0"/>
    <x v="2"/>
    <n v="12448"/>
    <n v="30"/>
    <n v="373440"/>
    <s v="Wholesale"/>
  </r>
  <r>
    <x v="7"/>
    <x v="14"/>
    <s v="East"/>
    <x v="0"/>
    <x v="0"/>
    <x v="3"/>
    <n v="7075"/>
    <n v="15"/>
    <n v="106125"/>
    <s v="Retail"/>
  </r>
  <r>
    <x v="7"/>
    <x v="14"/>
    <s v="East"/>
    <x v="1"/>
    <x v="1"/>
    <x v="4"/>
    <n v="13991"/>
    <n v="2"/>
    <n v="27982"/>
    <s v="E-commerce"/>
  </r>
  <r>
    <x v="7"/>
    <x v="14"/>
    <s v="East"/>
    <x v="1"/>
    <x v="1"/>
    <x v="5"/>
    <n v="12369"/>
    <n v="2"/>
    <n v="24738"/>
    <s v="Wholesale"/>
  </r>
  <r>
    <x v="7"/>
    <x v="14"/>
    <s v="East"/>
    <x v="1"/>
    <x v="1"/>
    <x v="6"/>
    <n v="9459"/>
    <n v="5"/>
    <n v="47295"/>
    <s v="Retail"/>
  </r>
  <r>
    <x v="7"/>
    <x v="14"/>
    <s v="East"/>
    <x v="1"/>
    <x v="2"/>
    <x v="7"/>
    <n v="6915"/>
    <n v="3"/>
    <n v="20745"/>
    <s v="Wholesale"/>
  </r>
  <r>
    <x v="7"/>
    <x v="15"/>
    <s v="East"/>
    <x v="0"/>
    <x v="0"/>
    <x v="0"/>
    <n v="7415"/>
    <n v="10"/>
    <n v="74150"/>
    <s v="Retail"/>
  </r>
  <r>
    <x v="7"/>
    <x v="15"/>
    <s v="East"/>
    <x v="0"/>
    <x v="0"/>
    <x v="1"/>
    <n v="13321"/>
    <n v="20"/>
    <n v="266420"/>
    <s v="Retail"/>
  </r>
  <r>
    <x v="7"/>
    <x v="15"/>
    <s v="East"/>
    <x v="0"/>
    <x v="0"/>
    <x v="2"/>
    <n v="9042"/>
    <n v="30"/>
    <n v="271260"/>
    <s v="Retail"/>
  </r>
  <r>
    <x v="7"/>
    <x v="15"/>
    <s v="East"/>
    <x v="0"/>
    <x v="0"/>
    <x v="3"/>
    <n v="9309"/>
    <n v="15"/>
    <n v="139635"/>
    <s v="Retail"/>
  </r>
  <r>
    <x v="7"/>
    <x v="15"/>
    <s v="East"/>
    <x v="1"/>
    <x v="1"/>
    <x v="4"/>
    <n v="8147"/>
    <n v="2"/>
    <n v="16294"/>
    <s v="Retail"/>
  </r>
  <r>
    <x v="7"/>
    <x v="15"/>
    <s v="East"/>
    <x v="1"/>
    <x v="1"/>
    <x v="5"/>
    <n v="14067"/>
    <n v="2"/>
    <n v="28134"/>
    <s v="Wholesale"/>
  </r>
  <r>
    <x v="7"/>
    <x v="15"/>
    <s v="East"/>
    <x v="1"/>
    <x v="1"/>
    <x v="6"/>
    <n v="12077"/>
    <n v="5"/>
    <n v="60385"/>
    <s v="E-commerce"/>
  </r>
  <r>
    <x v="7"/>
    <x v="15"/>
    <s v="East"/>
    <x v="1"/>
    <x v="2"/>
    <x v="7"/>
    <n v="14245"/>
    <n v="3"/>
    <n v="42735"/>
    <s v="Retail"/>
  </r>
  <r>
    <x v="7"/>
    <x v="16"/>
    <s v="East"/>
    <x v="0"/>
    <x v="0"/>
    <x v="0"/>
    <n v="11712"/>
    <n v="10"/>
    <n v="117120"/>
    <s v="E-commerce"/>
  </r>
  <r>
    <x v="7"/>
    <x v="16"/>
    <s v="East"/>
    <x v="0"/>
    <x v="0"/>
    <x v="1"/>
    <n v="14311"/>
    <n v="20"/>
    <n v="286220"/>
    <s v="Retail"/>
  </r>
  <r>
    <x v="7"/>
    <x v="16"/>
    <s v="East"/>
    <x v="0"/>
    <x v="0"/>
    <x v="2"/>
    <n v="10045"/>
    <n v="30"/>
    <n v="301350"/>
    <s v="E-commerce"/>
  </r>
  <r>
    <x v="7"/>
    <x v="16"/>
    <s v="East"/>
    <x v="0"/>
    <x v="0"/>
    <x v="3"/>
    <n v="7146"/>
    <n v="15"/>
    <n v="107190"/>
    <s v="Wholesale"/>
  </r>
  <r>
    <x v="7"/>
    <x v="16"/>
    <s v="East"/>
    <x v="1"/>
    <x v="1"/>
    <x v="4"/>
    <n v="14242"/>
    <n v="2"/>
    <n v="28484"/>
    <s v="Retail"/>
  </r>
  <r>
    <x v="7"/>
    <x v="16"/>
    <s v="East"/>
    <x v="1"/>
    <x v="1"/>
    <x v="5"/>
    <n v="5019"/>
    <n v="2"/>
    <n v="10038"/>
    <s v="Wholesale"/>
  </r>
  <r>
    <x v="7"/>
    <x v="16"/>
    <s v="East"/>
    <x v="1"/>
    <x v="1"/>
    <x v="6"/>
    <n v="6045"/>
    <n v="5"/>
    <n v="30225"/>
    <s v="E-commerce"/>
  </r>
  <r>
    <x v="7"/>
    <x v="16"/>
    <s v="East"/>
    <x v="1"/>
    <x v="2"/>
    <x v="7"/>
    <n v="10047"/>
    <n v="3"/>
    <n v="30141"/>
    <s v="E-commerce"/>
  </r>
  <r>
    <x v="7"/>
    <x v="17"/>
    <s v="West"/>
    <x v="0"/>
    <x v="0"/>
    <x v="0"/>
    <n v="10393"/>
    <n v="10"/>
    <n v="103930"/>
    <s v="Retail"/>
  </r>
  <r>
    <x v="7"/>
    <x v="17"/>
    <s v="West"/>
    <x v="0"/>
    <x v="0"/>
    <x v="1"/>
    <n v="9996"/>
    <n v="20"/>
    <n v="199920"/>
    <s v="E-commerce"/>
  </r>
  <r>
    <x v="7"/>
    <x v="17"/>
    <s v="West"/>
    <x v="0"/>
    <x v="0"/>
    <x v="2"/>
    <n v="13123"/>
    <n v="30"/>
    <n v="393690"/>
    <s v="E-commerce"/>
  </r>
  <r>
    <x v="7"/>
    <x v="17"/>
    <s v="West"/>
    <x v="0"/>
    <x v="0"/>
    <x v="3"/>
    <n v="5539"/>
    <n v="15"/>
    <n v="83085"/>
    <s v="Wholesale"/>
  </r>
  <r>
    <x v="7"/>
    <x v="17"/>
    <s v="West"/>
    <x v="1"/>
    <x v="1"/>
    <x v="4"/>
    <n v="7306"/>
    <n v="2"/>
    <n v="14612"/>
    <s v="E-commerce"/>
  </r>
  <r>
    <x v="7"/>
    <x v="17"/>
    <s v="West"/>
    <x v="1"/>
    <x v="1"/>
    <x v="5"/>
    <n v="6101"/>
    <n v="2"/>
    <n v="12202"/>
    <s v="Retail"/>
  </r>
  <r>
    <x v="7"/>
    <x v="17"/>
    <s v="West"/>
    <x v="1"/>
    <x v="1"/>
    <x v="6"/>
    <n v="12187"/>
    <n v="5"/>
    <n v="60935"/>
    <s v="E-commerce"/>
  </r>
  <r>
    <x v="7"/>
    <x v="17"/>
    <s v="West"/>
    <x v="1"/>
    <x v="2"/>
    <x v="7"/>
    <n v="11776"/>
    <n v="3"/>
    <n v="35328"/>
    <s v="E-commerce"/>
  </r>
  <r>
    <x v="7"/>
    <x v="18"/>
    <s v="West"/>
    <x v="0"/>
    <x v="0"/>
    <x v="0"/>
    <n v="14028"/>
    <n v="10"/>
    <n v="140280"/>
    <s v="Retail"/>
  </r>
  <r>
    <x v="7"/>
    <x v="18"/>
    <s v="West"/>
    <x v="0"/>
    <x v="0"/>
    <x v="1"/>
    <n v="5930"/>
    <n v="20"/>
    <n v="118600"/>
    <s v="E-commerce"/>
  </r>
  <r>
    <x v="7"/>
    <x v="18"/>
    <s v="West"/>
    <x v="0"/>
    <x v="0"/>
    <x v="2"/>
    <n v="6862"/>
    <n v="30"/>
    <n v="205860"/>
    <s v="Retail"/>
  </r>
  <r>
    <x v="7"/>
    <x v="18"/>
    <s v="West"/>
    <x v="0"/>
    <x v="0"/>
    <x v="3"/>
    <n v="8307"/>
    <n v="15"/>
    <n v="124605"/>
    <s v="Retail"/>
  </r>
  <r>
    <x v="7"/>
    <x v="18"/>
    <s v="West"/>
    <x v="1"/>
    <x v="1"/>
    <x v="4"/>
    <n v="14455"/>
    <n v="2"/>
    <n v="28910"/>
    <s v="E-commerce"/>
  </r>
  <r>
    <x v="7"/>
    <x v="18"/>
    <s v="West"/>
    <x v="1"/>
    <x v="1"/>
    <x v="5"/>
    <n v="6723"/>
    <n v="2"/>
    <n v="13446"/>
    <s v="E-commerce"/>
  </r>
  <r>
    <x v="7"/>
    <x v="18"/>
    <s v="West"/>
    <x v="1"/>
    <x v="1"/>
    <x v="6"/>
    <n v="14197"/>
    <n v="5"/>
    <n v="70985"/>
    <s v="Wholesale"/>
  </r>
  <r>
    <x v="7"/>
    <x v="18"/>
    <s v="West"/>
    <x v="1"/>
    <x v="2"/>
    <x v="7"/>
    <n v="12495"/>
    <n v="3"/>
    <n v="37485"/>
    <s v="E-commerce"/>
  </r>
  <r>
    <x v="7"/>
    <x v="19"/>
    <s v="West"/>
    <x v="0"/>
    <x v="0"/>
    <x v="0"/>
    <n v="8403"/>
    <n v="10"/>
    <n v="84030"/>
    <s v="Retail"/>
  </r>
  <r>
    <x v="7"/>
    <x v="19"/>
    <s v="West"/>
    <x v="0"/>
    <x v="0"/>
    <x v="1"/>
    <n v="5988"/>
    <n v="20"/>
    <n v="119760"/>
    <s v="Retail"/>
  </r>
  <r>
    <x v="7"/>
    <x v="19"/>
    <s v="West"/>
    <x v="0"/>
    <x v="0"/>
    <x v="2"/>
    <n v="10889"/>
    <n v="30"/>
    <n v="326670"/>
    <s v="Retail"/>
  </r>
  <r>
    <x v="7"/>
    <x v="19"/>
    <s v="West"/>
    <x v="0"/>
    <x v="0"/>
    <x v="3"/>
    <n v="6249"/>
    <n v="15"/>
    <n v="93735"/>
    <s v="E-commerce"/>
  </r>
  <r>
    <x v="7"/>
    <x v="19"/>
    <s v="West"/>
    <x v="1"/>
    <x v="1"/>
    <x v="4"/>
    <n v="9080"/>
    <n v="2"/>
    <n v="18160"/>
    <s v="Retail"/>
  </r>
  <r>
    <x v="7"/>
    <x v="19"/>
    <s v="West"/>
    <x v="1"/>
    <x v="1"/>
    <x v="5"/>
    <n v="6019"/>
    <n v="2"/>
    <n v="12038"/>
    <s v="Wholesale"/>
  </r>
  <r>
    <x v="7"/>
    <x v="19"/>
    <s v="West"/>
    <x v="1"/>
    <x v="1"/>
    <x v="6"/>
    <n v="12683"/>
    <n v="5"/>
    <n v="63415"/>
    <s v="Wholesale"/>
  </r>
  <r>
    <x v="7"/>
    <x v="19"/>
    <s v="West"/>
    <x v="1"/>
    <x v="2"/>
    <x v="7"/>
    <n v="8548"/>
    <n v="3"/>
    <n v="25644"/>
    <s v="E-commerce"/>
  </r>
  <r>
    <x v="7"/>
    <x v="20"/>
    <s v="West"/>
    <x v="0"/>
    <x v="0"/>
    <x v="0"/>
    <n v="12828"/>
    <n v="10"/>
    <n v="128280"/>
    <s v="E-commerce"/>
  </r>
  <r>
    <x v="7"/>
    <x v="20"/>
    <s v="West"/>
    <x v="0"/>
    <x v="0"/>
    <x v="1"/>
    <n v="12028"/>
    <n v="20"/>
    <n v="240560"/>
    <s v="Wholesale"/>
  </r>
  <r>
    <x v="7"/>
    <x v="20"/>
    <s v="West"/>
    <x v="0"/>
    <x v="0"/>
    <x v="2"/>
    <n v="5419"/>
    <n v="30"/>
    <n v="162570"/>
    <s v="Wholesale"/>
  </r>
  <r>
    <x v="7"/>
    <x v="20"/>
    <s v="West"/>
    <x v="0"/>
    <x v="0"/>
    <x v="3"/>
    <n v="5619"/>
    <n v="15"/>
    <n v="84285"/>
    <s v="Wholesale"/>
  </r>
  <r>
    <x v="7"/>
    <x v="20"/>
    <s v="West"/>
    <x v="1"/>
    <x v="1"/>
    <x v="4"/>
    <n v="5471"/>
    <n v="2"/>
    <n v="10942"/>
    <s v="E-commerce"/>
  </r>
  <r>
    <x v="7"/>
    <x v="20"/>
    <s v="West"/>
    <x v="1"/>
    <x v="1"/>
    <x v="5"/>
    <n v="9135"/>
    <n v="2"/>
    <n v="18270"/>
    <s v="Wholesale"/>
  </r>
  <r>
    <x v="7"/>
    <x v="20"/>
    <s v="West"/>
    <x v="1"/>
    <x v="1"/>
    <x v="6"/>
    <n v="9482"/>
    <n v="5"/>
    <n v="47410"/>
    <s v="E-commerce"/>
  </r>
  <r>
    <x v="7"/>
    <x v="20"/>
    <s v="West"/>
    <x v="1"/>
    <x v="2"/>
    <x v="7"/>
    <n v="13779"/>
    <n v="3"/>
    <n v="41337"/>
    <s v="Retail"/>
  </r>
  <r>
    <x v="7"/>
    <x v="21"/>
    <s v="West"/>
    <x v="0"/>
    <x v="0"/>
    <x v="0"/>
    <n v="6640"/>
    <n v="10"/>
    <n v="66400"/>
    <s v="Retail"/>
  </r>
  <r>
    <x v="7"/>
    <x v="21"/>
    <s v="West"/>
    <x v="0"/>
    <x v="0"/>
    <x v="1"/>
    <n v="12234"/>
    <n v="20"/>
    <n v="244680"/>
    <s v="Retail"/>
  </r>
  <r>
    <x v="7"/>
    <x v="21"/>
    <s v="West"/>
    <x v="0"/>
    <x v="0"/>
    <x v="2"/>
    <n v="6301"/>
    <n v="30"/>
    <n v="189030"/>
    <s v="E-commerce"/>
  </r>
  <r>
    <x v="7"/>
    <x v="21"/>
    <s v="West"/>
    <x v="0"/>
    <x v="0"/>
    <x v="3"/>
    <n v="14500"/>
    <n v="15"/>
    <n v="217500"/>
    <s v="E-commerce"/>
  </r>
  <r>
    <x v="7"/>
    <x v="21"/>
    <s v="West"/>
    <x v="1"/>
    <x v="1"/>
    <x v="4"/>
    <n v="9926"/>
    <n v="2"/>
    <n v="19852"/>
    <s v="Wholesale"/>
  </r>
  <r>
    <x v="7"/>
    <x v="21"/>
    <s v="West"/>
    <x v="1"/>
    <x v="1"/>
    <x v="5"/>
    <n v="10685"/>
    <n v="2"/>
    <n v="21370"/>
    <s v="Wholesale"/>
  </r>
  <r>
    <x v="7"/>
    <x v="21"/>
    <s v="West"/>
    <x v="1"/>
    <x v="1"/>
    <x v="6"/>
    <n v="9593"/>
    <n v="5"/>
    <n v="47965"/>
    <s v="Wholesale"/>
  </r>
  <r>
    <x v="7"/>
    <x v="21"/>
    <s v="West"/>
    <x v="1"/>
    <x v="2"/>
    <x v="7"/>
    <n v="5541"/>
    <n v="3"/>
    <n v="16623"/>
    <s v="Wholesale"/>
  </r>
  <r>
    <x v="8"/>
    <x v="0"/>
    <s v="North"/>
    <x v="0"/>
    <x v="0"/>
    <x v="0"/>
    <n v="7490"/>
    <n v="10"/>
    <n v="74900"/>
    <s v="E-commerce"/>
  </r>
  <r>
    <x v="8"/>
    <x v="0"/>
    <s v="North"/>
    <x v="0"/>
    <x v="0"/>
    <x v="1"/>
    <n v="6282"/>
    <n v="20"/>
    <n v="125640"/>
    <s v="Retail"/>
  </r>
  <r>
    <x v="8"/>
    <x v="0"/>
    <s v="North"/>
    <x v="0"/>
    <x v="0"/>
    <x v="2"/>
    <n v="12474"/>
    <n v="30"/>
    <n v="374220"/>
    <s v="Retail"/>
  </r>
  <r>
    <x v="8"/>
    <x v="0"/>
    <s v="North"/>
    <x v="0"/>
    <x v="0"/>
    <x v="3"/>
    <n v="6432"/>
    <n v="15"/>
    <n v="96480"/>
    <s v="Wholesale"/>
  </r>
  <r>
    <x v="8"/>
    <x v="0"/>
    <s v="North"/>
    <x v="1"/>
    <x v="1"/>
    <x v="4"/>
    <n v="12287"/>
    <n v="2"/>
    <n v="24574"/>
    <s v="Wholesale"/>
  </r>
  <r>
    <x v="8"/>
    <x v="0"/>
    <s v="North"/>
    <x v="1"/>
    <x v="1"/>
    <x v="5"/>
    <n v="13901"/>
    <n v="2"/>
    <n v="27802"/>
    <s v="Retail"/>
  </r>
  <r>
    <x v="8"/>
    <x v="0"/>
    <s v="North"/>
    <x v="1"/>
    <x v="1"/>
    <x v="6"/>
    <n v="6917"/>
    <n v="5"/>
    <n v="34585"/>
    <s v="Retail"/>
  </r>
  <r>
    <x v="8"/>
    <x v="0"/>
    <s v="North"/>
    <x v="1"/>
    <x v="2"/>
    <x v="7"/>
    <n v="12551"/>
    <n v="3"/>
    <n v="37653"/>
    <s v="Retail"/>
  </r>
  <r>
    <x v="8"/>
    <x v="1"/>
    <s v="North"/>
    <x v="0"/>
    <x v="0"/>
    <x v="0"/>
    <n v="13701"/>
    <n v="10"/>
    <n v="137010"/>
    <s v="Retail"/>
  </r>
  <r>
    <x v="8"/>
    <x v="1"/>
    <s v="North"/>
    <x v="0"/>
    <x v="0"/>
    <x v="1"/>
    <n v="10710"/>
    <n v="20"/>
    <n v="214200"/>
    <s v="Wholesale"/>
  </r>
  <r>
    <x v="8"/>
    <x v="1"/>
    <s v="North"/>
    <x v="0"/>
    <x v="0"/>
    <x v="2"/>
    <n v="9827"/>
    <n v="30"/>
    <n v="294810"/>
    <s v="Wholesale"/>
  </r>
  <r>
    <x v="8"/>
    <x v="1"/>
    <s v="North"/>
    <x v="0"/>
    <x v="0"/>
    <x v="3"/>
    <n v="12579"/>
    <n v="15"/>
    <n v="188685"/>
    <s v="Retail"/>
  </r>
  <r>
    <x v="8"/>
    <x v="1"/>
    <s v="North"/>
    <x v="1"/>
    <x v="1"/>
    <x v="4"/>
    <n v="8918"/>
    <n v="2"/>
    <n v="17836"/>
    <s v="Retail"/>
  </r>
  <r>
    <x v="8"/>
    <x v="1"/>
    <s v="North"/>
    <x v="1"/>
    <x v="1"/>
    <x v="5"/>
    <n v="10355"/>
    <n v="2"/>
    <n v="20710"/>
    <s v="Wholesale"/>
  </r>
  <r>
    <x v="8"/>
    <x v="1"/>
    <s v="North"/>
    <x v="1"/>
    <x v="1"/>
    <x v="6"/>
    <n v="5747"/>
    <n v="5"/>
    <n v="28735"/>
    <s v="E-commerce"/>
  </r>
  <r>
    <x v="8"/>
    <x v="1"/>
    <s v="North"/>
    <x v="1"/>
    <x v="2"/>
    <x v="7"/>
    <n v="5358"/>
    <n v="3"/>
    <n v="16074"/>
    <s v="Retail"/>
  </r>
  <r>
    <x v="8"/>
    <x v="2"/>
    <s v="North"/>
    <x v="0"/>
    <x v="0"/>
    <x v="0"/>
    <n v="7381"/>
    <n v="10"/>
    <n v="73810"/>
    <s v="E-commerce"/>
  </r>
  <r>
    <x v="8"/>
    <x v="2"/>
    <s v="North"/>
    <x v="0"/>
    <x v="0"/>
    <x v="1"/>
    <n v="12280"/>
    <n v="20"/>
    <n v="245600"/>
    <s v="Retail"/>
  </r>
  <r>
    <x v="8"/>
    <x v="2"/>
    <s v="North"/>
    <x v="0"/>
    <x v="0"/>
    <x v="2"/>
    <n v="6770"/>
    <n v="30"/>
    <n v="203100"/>
    <s v="Wholesale"/>
  </r>
  <r>
    <x v="8"/>
    <x v="2"/>
    <s v="North"/>
    <x v="0"/>
    <x v="0"/>
    <x v="3"/>
    <n v="5808"/>
    <n v="15"/>
    <n v="87120"/>
    <s v="Wholesale"/>
  </r>
  <r>
    <x v="8"/>
    <x v="2"/>
    <s v="North"/>
    <x v="1"/>
    <x v="1"/>
    <x v="4"/>
    <n v="8285"/>
    <n v="2"/>
    <n v="16570"/>
    <s v="E-commerce"/>
  </r>
  <r>
    <x v="8"/>
    <x v="2"/>
    <s v="North"/>
    <x v="1"/>
    <x v="1"/>
    <x v="5"/>
    <n v="9775"/>
    <n v="2"/>
    <n v="19550"/>
    <s v="Retail"/>
  </r>
  <r>
    <x v="8"/>
    <x v="2"/>
    <s v="North"/>
    <x v="1"/>
    <x v="1"/>
    <x v="6"/>
    <n v="14117"/>
    <n v="5"/>
    <n v="70585"/>
    <s v="E-commerce"/>
  </r>
  <r>
    <x v="8"/>
    <x v="2"/>
    <s v="North"/>
    <x v="1"/>
    <x v="2"/>
    <x v="7"/>
    <n v="9627"/>
    <n v="3"/>
    <n v="28881"/>
    <s v="Wholesale"/>
  </r>
  <r>
    <x v="8"/>
    <x v="3"/>
    <s v="North"/>
    <x v="0"/>
    <x v="0"/>
    <x v="0"/>
    <n v="9034"/>
    <n v="10"/>
    <n v="90340"/>
    <s v="Wholesale"/>
  </r>
  <r>
    <x v="8"/>
    <x v="3"/>
    <s v="North"/>
    <x v="0"/>
    <x v="0"/>
    <x v="1"/>
    <n v="14534"/>
    <n v="20"/>
    <n v="290680"/>
    <s v="E-commerce"/>
  </r>
  <r>
    <x v="8"/>
    <x v="3"/>
    <s v="North"/>
    <x v="0"/>
    <x v="0"/>
    <x v="2"/>
    <n v="5838"/>
    <n v="30"/>
    <n v="175140"/>
    <s v="Retail"/>
  </r>
  <r>
    <x v="8"/>
    <x v="3"/>
    <s v="North"/>
    <x v="0"/>
    <x v="0"/>
    <x v="3"/>
    <n v="8682"/>
    <n v="15"/>
    <n v="130230"/>
    <s v="E-commerce"/>
  </r>
  <r>
    <x v="8"/>
    <x v="3"/>
    <s v="North"/>
    <x v="1"/>
    <x v="1"/>
    <x v="4"/>
    <n v="13457"/>
    <n v="2"/>
    <n v="26914"/>
    <s v="Retail"/>
  </r>
  <r>
    <x v="8"/>
    <x v="3"/>
    <s v="North"/>
    <x v="1"/>
    <x v="1"/>
    <x v="5"/>
    <n v="11113"/>
    <n v="2"/>
    <n v="22226"/>
    <s v="E-commerce"/>
  </r>
  <r>
    <x v="8"/>
    <x v="3"/>
    <s v="North"/>
    <x v="1"/>
    <x v="1"/>
    <x v="6"/>
    <n v="6839"/>
    <n v="5"/>
    <n v="34195"/>
    <s v="Wholesale"/>
  </r>
  <r>
    <x v="8"/>
    <x v="3"/>
    <s v="North"/>
    <x v="1"/>
    <x v="2"/>
    <x v="7"/>
    <n v="13218"/>
    <n v="3"/>
    <n v="39654"/>
    <s v="Retail"/>
  </r>
  <r>
    <x v="8"/>
    <x v="4"/>
    <s v="North"/>
    <x v="0"/>
    <x v="0"/>
    <x v="0"/>
    <n v="9408"/>
    <n v="10"/>
    <n v="94080"/>
    <s v="Wholesale"/>
  </r>
  <r>
    <x v="8"/>
    <x v="4"/>
    <s v="North"/>
    <x v="0"/>
    <x v="0"/>
    <x v="1"/>
    <n v="14278"/>
    <n v="20"/>
    <n v="285560"/>
    <s v="Retail"/>
  </r>
  <r>
    <x v="8"/>
    <x v="4"/>
    <s v="North"/>
    <x v="0"/>
    <x v="0"/>
    <x v="2"/>
    <n v="5346"/>
    <n v="30"/>
    <n v="160380"/>
    <s v="Wholesale"/>
  </r>
  <r>
    <x v="8"/>
    <x v="4"/>
    <s v="North"/>
    <x v="0"/>
    <x v="0"/>
    <x v="3"/>
    <n v="12329"/>
    <n v="15"/>
    <n v="184935"/>
    <s v="Retail"/>
  </r>
  <r>
    <x v="8"/>
    <x v="4"/>
    <s v="North"/>
    <x v="1"/>
    <x v="1"/>
    <x v="4"/>
    <n v="7343"/>
    <n v="2"/>
    <n v="14686"/>
    <s v="Retail"/>
  </r>
  <r>
    <x v="8"/>
    <x v="4"/>
    <s v="North"/>
    <x v="1"/>
    <x v="1"/>
    <x v="5"/>
    <n v="14351"/>
    <n v="2"/>
    <n v="28702"/>
    <s v="Wholesale"/>
  </r>
  <r>
    <x v="8"/>
    <x v="4"/>
    <s v="North"/>
    <x v="1"/>
    <x v="1"/>
    <x v="6"/>
    <n v="8394"/>
    <n v="5"/>
    <n v="41970"/>
    <s v="E-commerce"/>
  </r>
  <r>
    <x v="8"/>
    <x v="4"/>
    <s v="North"/>
    <x v="1"/>
    <x v="2"/>
    <x v="7"/>
    <n v="5480"/>
    <n v="3"/>
    <n v="16440"/>
    <s v="Wholesale"/>
  </r>
  <r>
    <x v="8"/>
    <x v="5"/>
    <s v="North"/>
    <x v="0"/>
    <x v="0"/>
    <x v="0"/>
    <n v="10360"/>
    <n v="10"/>
    <n v="103600"/>
    <s v="Retail"/>
  </r>
  <r>
    <x v="8"/>
    <x v="5"/>
    <s v="North"/>
    <x v="0"/>
    <x v="0"/>
    <x v="1"/>
    <n v="8441"/>
    <n v="20"/>
    <n v="168820"/>
    <s v="Wholesale"/>
  </r>
  <r>
    <x v="8"/>
    <x v="5"/>
    <s v="North"/>
    <x v="0"/>
    <x v="0"/>
    <x v="2"/>
    <n v="9093"/>
    <n v="30"/>
    <n v="272790"/>
    <s v="Wholesale"/>
  </r>
  <r>
    <x v="8"/>
    <x v="5"/>
    <s v="North"/>
    <x v="0"/>
    <x v="0"/>
    <x v="3"/>
    <n v="6042"/>
    <n v="15"/>
    <n v="90630"/>
    <s v="Retail"/>
  </r>
  <r>
    <x v="8"/>
    <x v="5"/>
    <s v="North"/>
    <x v="1"/>
    <x v="1"/>
    <x v="4"/>
    <n v="5961"/>
    <n v="2"/>
    <n v="11922"/>
    <s v="E-commerce"/>
  </r>
  <r>
    <x v="8"/>
    <x v="5"/>
    <s v="North"/>
    <x v="1"/>
    <x v="1"/>
    <x v="5"/>
    <n v="12267"/>
    <n v="2"/>
    <n v="24534"/>
    <s v="Wholesale"/>
  </r>
  <r>
    <x v="8"/>
    <x v="5"/>
    <s v="North"/>
    <x v="1"/>
    <x v="1"/>
    <x v="6"/>
    <n v="9080"/>
    <n v="5"/>
    <n v="45400"/>
    <s v="E-commerce"/>
  </r>
  <r>
    <x v="8"/>
    <x v="5"/>
    <s v="North"/>
    <x v="1"/>
    <x v="2"/>
    <x v="7"/>
    <n v="13249"/>
    <n v="3"/>
    <n v="39747"/>
    <s v="Retail"/>
  </r>
  <r>
    <x v="8"/>
    <x v="6"/>
    <s v="North"/>
    <x v="0"/>
    <x v="0"/>
    <x v="0"/>
    <n v="6036"/>
    <n v="10"/>
    <n v="60360"/>
    <s v="Wholesale"/>
  </r>
  <r>
    <x v="8"/>
    <x v="6"/>
    <s v="North"/>
    <x v="0"/>
    <x v="0"/>
    <x v="1"/>
    <n v="5839"/>
    <n v="20"/>
    <n v="116780"/>
    <s v="Retail"/>
  </r>
  <r>
    <x v="8"/>
    <x v="6"/>
    <s v="North"/>
    <x v="0"/>
    <x v="0"/>
    <x v="2"/>
    <n v="7803"/>
    <n v="30"/>
    <n v="234090"/>
    <s v="E-commerce"/>
  </r>
  <r>
    <x v="8"/>
    <x v="6"/>
    <s v="North"/>
    <x v="0"/>
    <x v="0"/>
    <x v="3"/>
    <n v="11138"/>
    <n v="15"/>
    <n v="167070"/>
    <s v="Wholesale"/>
  </r>
  <r>
    <x v="8"/>
    <x v="6"/>
    <s v="North"/>
    <x v="1"/>
    <x v="1"/>
    <x v="4"/>
    <n v="5413"/>
    <n v="2"/>
    <n v="10826"/>
    <s v="Wholesale"/>
  </r>
  <r>
    <x v="8"/>
    <x v="6"/>
    <s v="North"/>
    <x v="1"/>
    <x v="1"/>
    <x v="5"/>
    <n v="13590"/>
    <n v="2"/>
    <n v="27180"/>
    <s v="Retail"/>
  </r>
  <r>
    <x v="8"/>
    <x v="6"/>
    <s v="North"/>
    <x v="1"/>
    <x v="1"/>
    <x v="6"/>
    <n v="10646"/>
    <n v="5"/>
    <n v="53230"/>
    <s v="E-commerce"/>
  </r>
  <r>
    <x v="8"/>
    <x v="6"/>
    <s v="North"/>
    <x v="1"/>
    <x v="2"/>
    <x v="7"/>
    <n v="13341"/>
    <n v="3"/>
    <n v="40023"/>
    <s v="Retail"/>
  </r>
  <r>
    <x v="8"/>
    <x v="7"/>
    <s v="South"/>
    <x v="0"/>
    <x v="0"/>
    <x v="0"/>
    <n v="13958"/>
    <n v="10"/>
    <n v="139580"/>
    <s v="Retail"/>
  </r>
  <r>
    <x v="8"/>
    <x v="7"/>
    <s v="South"/>
    <x v="0"/>
    <x v="0"/>
    <x v="1"/>
    <n v="8117"/>
    <n v="20"/>
    <n v="162340"/>
    <s v="Retail"/>
  </r>
  <r>
    <x v="8"/>
    <x v="7"/>
    <s v="South"/>
    <x v="0"/>
    <x v="0"/>
    <x v="2"/>
    <n v="14241"/>
    <n v="30"/>
    <n v="427230"/>
    <s v="Wholesale"/>
  </r>
  <r>
    <x v="8"/>
    <x v="7"/>
    <s v="South"/>
    <x v="0"/>
    <x v="0"/>
    <x v="3"/>
    <n v="13396"/>
    <n v="15"/>
    <n v="200940"/>
    <s v="E-commerce"/>
  </r>
  <r>
    <x v="8"/>
    <x v="7"/>
    <s v="South"/>
    <x v="1"/>
    <x v="1"/>
    <x v="4"/>
    <n v="8224"/>
    <n v="2"/>
    <n v="16448"/>
    <s v="Retail"/>
  </r>
  <r>
    <x v="8"/>
    <x v="7"/>
    <s v="South"/>
    <x v="1"/>
    <x v="1"/>
    <x v="5"/>
    <n v="13697"/>
    <n v="2"/>
    <n v="27394"/>
    <s v="Retail"/>
  </r>
  <r>
    <x v="8"/>
    <x v="7"/>
    <s v="South"/>
    <x v="1"/>
    <x v="1"/>
    <x v="6"/>
    <n v="13213"/>
    <n v="5"/>
    <n v="66065"/>
    <s v="E-commerce"/>
  </r>
  <r>
    <x v="8"/>
    <x v="7"/>
    <s v="South"/>
    <x v="1"/>
    <x v="2"/>
    <x v="7"/>
    <n v="9535"/>
    <n v="3"/>
    <n v="28605"/>
    <s v="E-commerce"/>
  </r>
  <r>
    <x v="8"/>
    <x v="8"/>
    <s v="South"/>
    <x v="0"/>
    <x v="0"/>
    <x v="0"/>
    <n v="12502"/>
    <n v="10"/>
    <n v="125020"/>
    <s v="E-commerce"/>
  </r>
  <r>
    <x v="8"/>
    <x v="8"/>
    <s v="South"/>
    <x v="0"/>
    <x v="0"/>
    <x v="1"/>
    <n v="8283"/>
    <n v="20"/>
    <n v="165660"/>
    <s v="Wholesale"/>
  </r>
  <r>
    <x v="8"/>
    <x v="8"/>
    <s v="South"/>
    <x v="0"/>
    <x v="0"/>
    <x v="2"/>
    <n v="13520"/>
    <n v="30"/>
    <n v="405600"/>
    <s v="E-commerce"/>
  </r>
  <r>
    <x v="8"/>
    <x v="8"/>
    <s v="South"/>
    <x v="0"/>
    <x v="0"/>
    <x v="3"/>
    <n v="8423"/>
    <n v="15"/>
    <n v="126345"/>
    <s v="Wholesale"/>
  </r>
  <r>
    <x v="8"/>
    <x v="8"/>
    <s v="South"/>
    <x v="1"/>
    <x v="1"/>
    <x v="4"/>
    <n v="9898"/>
    <n v="2"/>
    <n v="19796"/>
    <s v="Retail"/>
  </r>
  <r>
    <x v="8"/>
    <x v="8"/>
    <s v="South"/>
    <x v="1"/>
    <x v="1"/>
    <x v="5"/>
    <n v="9593"/>
    <n v="2"/>
    <n v="19186"/>
    <s v="E-commerce"/>
  </r>
  <r>
    <x v="8"/>
    <x v="8"/>
    <s v="South"/>
    <x v="1"/>
    <x v="1"/>
    <x v="6"/>
    <n v="7845"/>
    <n v="5"/>
    <n v="39225"/>
    <s v="E-commerce"/>
  </r>
  <r>
    <x v="8"/>
    <x v="8"/>
    <s v="South"/>
    <x v="1"/>
    <x v="2"/>
    <x v="7"/>
    <n v="9497"/>
    <n v="3"/>
    <n v="28491"/>
    <s v="E-commerce"/>
  </r>
  <r>
    <x v="8"/>
    <x v="9"/>
    <s v="South"/>
    <x v="0"/>
    <x v="0"/>
    <x v="0"/>
    <n v="14778"/>
    <n v="10"/>
    <n v="147780"/>
    <s v="Wholesale"/>
  </r>
  <r>
    <x v="8"/>
    <x v="9"/>
    <s v="South"/>
    <x v="0"/>
    <x v="0"/>
    <x v="1"/>
    <n v="11630"/>
    <n v="20"/>
    <n v="232600"/>
    <s v="Retail"/>
  </r>
  <r>
    <x v="8"/>
    <x v="9"/>
    <s v="South"/>
    <x v="0"/>
    <x v="0"/>
    <x v="2"/>
    <n v="10989"/>
    <n v="30"/>
    <n v="329670"/>
    <s v="Retail"/>
  </r>
  <r>
    <x v="8"/>
    <x v="9"/>
    <s v="South"/>
    <x v="0"/>
    <x v="0"/>
    <x v="3"/>
    <n v="5569"/>
    <n v="15"/>
    <n v="83535"/>
    <s v="E-commerce"/>
  </r>
  <r>
    <x v="8"/>
    <x v="9"/>
    <s v="South"/>
    <x v="1"/>
    <x v="1"/>
    <x v="4"/>
    <n v="6275"/>
    <n v="2"/>
    <n v="12550"/>
    <s v="E-commerce"/>
  </r>
  <r>
    <x v="8"/>
    <x v="9"/>
    <s v="South"/>
    <x v="1"/>
    <x v="1"/>
    <x v="5"/>
    <n v="9066"/>
    <n v="2"/>
    <n v="18132"/>
    <s v="E-commerce"/>
  </r>
  <r>
    <x v="8"/>
    <x v="9"/>
    <s v="South"/>
    <x v="1"/>
    <x v="1"/>
    <x v="6"/>
    <n v="11673"/>
    <n v="5"/>
    <n v="58365"/>
    <s v="E-commerce"/>
  </r>
  <r>
    <x v="8"/>
    <x v="9"/>
    <s v="South"/>
    <x v="1"/>
    <x v="2"/>
    <x v="7"/>
    <n v="11790"/>
    <n v="3"/>
    <n v="35370"/>
    <s v="Wholesale"/>
  </r>
  <r>
    <x v="8"/>
    <x v="10"/>
    <s v="South"/>
    <x v="0"/>
    <x v="0"/>
    <x v="0"/>
    <n v="9597"/>
    <n v="10"/>
    <n v="95970"/>
    <s v="Retail"/>
  </r>
  <r>
    <x v="8"/>
    <x v="10"/>
    <s v="South"/>
    <x v="0"/>
    <x v="0"/>
    <x v="1"/>
    <n v="11119"/>
    <n v="20"/>
    <n v="222380"/>
    <s v="Wholesale"/>
  </r>
  <r>
    <x v="8"/>
    <x v="10"/>
    <s v="South"/>
    <x v="0"/>
    <x v="0"/>
    <x v="2"/>
    <n v="5764"/>
    <n v="30"/>
    <n v="172920"/>
    <s v="Retail"/>
  </r>
  <r>
    <x v="8"/>
    <x v="10"/>
    <s v="South"/>
    <x v="0"/>
    <x v="0"/>
    <x v="3"/>
    <n v="14063"/>
    <n v="15"/>
    <n v="210945"/>
    <s v="Retail"/>
  </r>
  <r>
    <x v="8"/>
    <x v="10"/>
    <s v="South"/>
    <x v="1"/>
    <x v="1"/>
    <x v="4"/>
    <n v="8016"/>
    <n v="2"/>
    <n v="16032"/>
    <s v="Retail"/>
  </r>
  <r>
    <x v="8"/>
    <x v="10"/>
    <s v="South"/>
    <x v="1"/>
    <x v="1"/>
    <x v="5"/>
    <n v="10312"/>
    <n v="2"/>
    <n v="20624"/>
    <s v="Wholesale"/>
  </r>
  <r>
    <x v="8"/>
    <x v="10"/>
    <s v="South"/>
    <x v="1"/>
    <x v="1"/>
    <x v="6"/>
    <n v="11412"/>
    <n v="5"/>
    <n v="57060"/>
    <s v="Wholesale"/>
  </r>
  <r>
    <x v="8"/>
    <x v="10"/>
    <s v="South"/>
    <x v="1"/>
    <x v="2"/>
    <x v="7"/>
    <n v="14692"/>
    <n v="3"/>
    <n v="44076"/>
    <s v="E-commerce"/>
  </r>
  <r>
    <x v="8"/>
    <x v="11"/>
    <s v="South"/>
    <x v="0"/>
    <x v="0"/>
    <x v="0"/>
    <n v="6398"/>
    <n v="10"/>
    <n v="63980"/>
    <s v="E-commerce"/>
  </r>
  <r>
    <x v="8"/>
    <x v="11"/>
    <s v="South"/>
    <x v="0"/>
    <x v="0"/>
    <x v="1"/>
    <n v="6148"/>
    <n v="20"/>
    <n v="122960"/>
    <s v="E-commerce"/>
  </r>
  <r>
    <x v="8"/>
    <x v="11"/>
    <s v="South"/>
    <x v="0"/>
    <x v="0"/>
    <x v="2"/>
    <n v="11302"/>
    <n v="30"/>
    <n v="339060"/>
    <s v="Wholesale"/>
  </r>
  <r>
    <x v="8"/>
    <x v="11"/>
    <s v="South"/>
    <x v="0"/>
    <x v="0"/>
    <x v="3"/>
    <n v="13524"/>
    <n v="15"/>
    <n v="202860"/>
    <s v="E-commerce"/>
  </r>
  <r>
    <x v="8"/>
    <x v="11"/>
    <s v="South"/>
    <x v="1"/>
    <x v="1"/>
    <x v="4"/>
    <n v="7871"/>
    <n v="2"/>
    <n v="15742"/>
    <s v="E-commerce"/>
  </r>
  <r>
    <x v="8"/>
    <x v="11"/>
    <s v="South"/>
    <x v="1"/>
    <x v="1"/>
    <x v="5"/>
    <n v="6390"/>
    <n v="2"/>
    <n v="12780"/>
    <s v="Wholesale"/>
  </r>
  <r>
    <x v="8"/>
    <x v="11"/>
    <s v="South"/>
    <x v="1"/>
    <x v="1"/>
    <x v="6"/>
    <n v="8277"/>
    <n v="5"/>
    <n v="41385"/>
    <s v="Wholesale"/>
  </r>
  <r>
    <x v="8"/>
    <x v="11"/>
    <s v="South"/>
    <x v="1"/>
    <x v="2"/>
    <x v="7"/>
    <n v="14961"/>
    <n v="3"/>
    <n v="44883"/>
    <s v="Wholesale"/>
  </r>
  <r>
    <x v="8"/>
    <x v="12"/>
    <s v="East"/>
    <x v="0"/>
    <x v="0"/>
    <x v="0"/>
    <n v="14671"/>
    <n v="10"/>
    <n v="146710"/>
    <s v="Wholesale"/>
  </r>
  <r>
    <x v="8"/>
    <x v="12"/>
    <s v="East"/>
    <x v="0"/>
    <x v="0"/>
    <x v="1"/>
    <n v="9221"/>
    <n v="20"/>
    <n v="184420"/>
    <s v="Retail"/>
  </r>
  <r>
    <x v="8"/>
    <x v="12"/>
    <s v="East"/>
    <x v="0"/>
    <x v="0"/>
    <x v="2"/>
    <n v="9088"/>
    <n v="30"/>
    <n v="272640"/>
    <s v="Wholesale"/>
  </r>
  <r>
    <x v="8"/>
    <x v="12"/>
    <s v="East"/>
    <x v="0"/>
    <x v="0"/>
    <x v="3"/>
    <n v="11906"/>
    <n v="15"/>
    <n v="178590"/>
    <s v="Retail"/>
  </r>
  <r>
    <x v="8"/>
    <x v="12"/>
    <s v="East"/>
    <x v="1"/>
    <x v="1"/>
    <x v="4"/>
    <n v="10672"/>
    <n v="2"/>
    <n v="21344"/>
    <s v="Wholesale"/>
  </r>
  <r>
    <x v="8"/>
    <x v="12"/>
    <s v="East"/>
    <x v="1"/>
    <x v="1"/>
    <x v="5"/>
    <n v="6828"/>
    <n v="2"/>
    <n v="13656"/>
    <s v="E-commerce"/>
  </r>
  <r>
    <x v="8"/>
    <x v="12"/>
    <s v="East"/>
    <x v="1"/>
    <x v="1"/>
    <x v="6"/>
    <n v="6688"/>
    <n v="5"/>
    <n v="33440"/>
    <s v="E-commerce"/>
  </r>
  <r>
    <x v="8"/>
    <x v="12"/>
    <s v="East"/>
    <x v="1"/>
    <x v="2"/>
    <x v="7"/>
    <n v="10426"/>
    <n v="3"/>
    <n v="31278"/>
    <s v="Retail"/>
  </r>
  <r>
    <x v="8"/>
    <x v="13"/>
    <s v="East"/>
    <x v="0"/>
    <x v="0"/>
    <x v="0"/>
    <n v="6209"/>
    <n v="10"/>
    <n v="62090"/>
    <s v="Wholesale"/>
  </r>
  <r>
    <x v="8"/>
    <x v="13"/>
    <s v="East"/>
    <x v="0"/>
    <x v="0"/>
    <x v="1"/>
    <n v="14960"/>
    <n v="20"/>
    <n v="299200"/>
    <s v="E-commerce"/>
  </r>
  <r>
    <x v="8"/>
    <x v="13"/>
    <s v="East"/>
    <x v="0"/>
    <x v="0"/>
    <x v="2"/>
    <n v="5440"/>
    <n v="30"/>
    <n v="163200"/>
    <s v="Retail"/>
  </r>
  <r>
    <x v="8"/>
    <x v="13"/>
    <s v="East"/>
    <x v="0"/>
    <x v="0"/>
    <x v="3"/>
    <n v="5509"/>
    <n v="15"/>
    <n v="82635"/>
    <s v="Wholesale"/>
  </r>
  <r>
    <x v="8"/>
    <x v="13"/>
    <s v="East"/>
    <x v="1"/>
    <x v="1"/>
    <x v="4"/>
    <n v="6108"/>
    <n v="2"/>
    <n v="12216"/>
    <s v="E-commerce"/>
  </r>
  <r>
    <x v="8"/>
    <x v="13"/>
    <s v="East"/>
    <x v="1"/>
    <x v="1"/>
    <x v="5"/>
    <n v="7157"/>
    <n v="2"/>
    <n v="14314"/>
    <s v="Wholesale"/>
  </r>
  <r>
    <x v="8"/>
    <x v="13"/>
    <s v="East"/>
    <x v="1"/>
    <x v="1"/>
    <x v="6"/>
    <n v="14497"/>
    <n v="5"/>
    <n v="72485"/>
    <s v="Retail"/>
  </r>
  <r>
    <x v="8"/>
    <x v="13"/>
    <s v="East"/>
    <x v="1"/>
    <x v="2"/>
    <x v="7"/>
    <n v="9008"/>
    <n v="3"/>
    <n v="27024"/>
    <s v="Retail"/>
  </r>
  <r>
    <x v="8"/>
    <x v="14"/>
    <s v="East"/>
    <x v="0"/>
    <x v="0"/>
    <x v="0"/>
    <n v="12294"/>
    <n v="10"/>
    <n v="122940"/>
    <s v="Wholesale"/>
  </r>
  <r>
    <x v="8"/>
    <x v="14"/>
    <s v="East"/>
    <x v="0"/>
    <x v="0"/>
    <x v="1"/>
    <n v="5959"/>
    <n v="20"/>
    <n v="119180"/>
    <s v="Retail"/>
  </r>
  <r>
    <x v="8"/>
    <x v="14"/>
    <s v="East"/>
    <x v="0"/>
    <x v="0"/>
    <x v="2"/>
    <n v="5687"/>
    <n v="30"/>
    <n v="170610"/>
    <s v="E-commerce"/>
  </r>
  <r>
    <x v="8"/>
    <x v="14"/>
    <s v="East"/>
    <x v="0"/>
    <x v="0"/>
    <x v="3"/>
    <n v="14917"/>
    <n v="15"/>
    <n v="223755"/>
    <s v="E-commerce"/>
  </r>
  <r>
    <x v="8"/>
    <x v="14"/>
    <s v="East"/>
    <x v="1"/>
    <x v="1"/>
    <x v="4"/>
    <n v="13256"/>
    <n v="2"/>
    <n v="26512"/>
    <s v="Wholesale"/>
  </r>
  <r>
    <x v="8"/>
    <x v="14"/>
    <s v="East"/>
    <x v="1"/>
    <x v="1"/>
    <x v="5"/>
    <n v="11076"/>
    <n v="2"/>
    <n v="22152"/>
    <s v="Wholesale"/>
  </r>
  <r>
    <x v="8"/>
    <x v="14"/>
    <s v="East"/>
    <x v="1"/>
    <x v="1"/>
    <x v="6"/>
    <n v="10232"/>
    <n v="5"/>
    <n v="51160"/>
    <s v="Retail"/>
  </r>
  <r>
    <x v="8"/>
    <x v="14"/>
    <s v="East"/>
    <x v="1"/>
    <x v="2"/>
    <x v="7"/>
    <n v="9583"/>
    <n v="3"/>
    <n v="28749"/>
    <s v="E-commerce"/>
  </r>
  <r>
    <x v="8"/>
    <x v="15"/>
    <s v="East"/>
    <x v="0"/>
    <x v="0"/>
    <x v="0"/>
    <n v="11111"/>
    <n v="10"/>
    <n v="111110"/>
    <s v="Retail"/>
  </r>
  <r>
    <x v="8"/>
    <x v="15"/>
    <s v="East"/>
    <x v="0"/>
    <x v="0"/>
    <x v="1"/>
    <n v="13338"/>
    <n v="20"/>
    <n v="266760"/>
    <s v="Wholesale"/>
  </r>
  <r>
    <x v="8"/>
    <x v="15"/>
    <s v="East"/>
    <x v="0"/>
    <x v="0"/>
    <x v="2"/>
    <n v="14912"/>
    <n v="30"/>
    <n v="447360"/>
    <s v="E-commerce"/>
  </r>
  <r>
    <x v="8"/>
    <x v="15"/>
    <s v="East"/>
    <x v="0"/>
    <x v="0"/>
    <x v="3"/>
    <n v="12829"/>
    <n v="15"/>
    <n v="192435"/>
    <s v="E-commerce"/>
  </r>
  <r>
    <x v="8"/>
    <x v="15"/>
    <s v="East"/>
    <x v="1"/>
    <x v="1"/>
    <x v="4"/>
    <n v="6051"/>
    <n v="2"/>
    <n v="12102"/>
    <s v="Wholesale"/>
  </r>
  <r>
    <x v="8"/>
    <x v="15"/>
    <s v="East"/>
    <x v="1"/>
    <x v="1"/>
    <x v="5"/>
    <n v="6322"/>
    <n v="2"/>
    <n v="12644"/>
    <s v="Retail"/>
  </r>
  <r>
    <x v="8"/>
    <x v="15"/>
    <s v="East"/>
    <x v="1"/>
    <x v="1"/>
    <x v="6"/>
    <n v="11471"/>
    <n v="5"/>
    <n v="57355"/>
    <s v="E-commerce"/>
  </r>
  <r>
    <x v="8"/>
    <x v="15"/>
    <s v="East"/>
    <x v="1"/>
    <x v="2"/>
    <x v="7"/>
    <n v="14798"/>
    <n v="3"/>
    <n v="44394"/>
    <s v="Retail"/>
  </r>
  <r>
    <x v="8"/>
    <x v="16"/>
    <s v="East"/>
    <x v="0"/>
    <x v="0"/>
    <x v="0"/>
    <n v="11035"/>
    <n v="10"/>
    <n v="110350"/>
    <s v="E-commerce"/>
  </r>
  <r>
    <x v="8"/>
    <x v="16"/>
    <s v="East"/>
    <x v="0"/>
    <x v="0"/>
    <x v="1"/>
    <n v="6658"/>
    <n v="20"/>
    <n v="133160"/>
    <s v="E-commerce"/>
  </r>
  <r>
    <x v="8"/>
    <x v="16"/>
    <s v="East"/>
    <x v="0"/>
    <x v="0"/>
    <x v="2"/>
    <n v="11567"/>
    <n v="30"/>
    <n v="347010"/>
    <s v="E-commerce"/>
  </r>
  <r>
    <x v="8"/>
    <x v="16"/>
    <s v="East"/>
    <x v="0"/>
    <x v="0"/>
    <x v="3"/>
    <n v="12354"/>
    <n v="15"/>
    <n v="185310"/>
    <s v="Wholesale"/>
  </r>
  <r>
    <x v="8"/>
    <x v="16"/>
    <s v="East"/>
    <x v="1"/>
    <x v="1"/>
    <x v="4"/>
    <n v="8586"/>
    <n v="2"/>
    <n v="17172"/>
    <s v="Retail"/>
  </r>
  <r>
    <x v="8"/>
    <x v="16"/>
    <s v="East"/>
    <x v="1"/>
    <x v="1"/>
    <x v="5"/>
    <n v="8852"/>
    <n v="2"/>
    <n v="17704"/>
    <s v="Retail"/>
  </r>
  <r>
    <x v="8"/>
    <x v="16"/>
    <s v="East"/>
    <x v="1"/>
    <x v="1"/>
    <x v="6"/>
    <n v="7260"/>
    <n v="5"/>
    <n v="36300"/>
    <s v="E-commerce"/>
  </r>
  <r>
    <x v="8"/>
    <x v="16"/>
    <s v="East"/>
    <x v="1"/>
    <x v="2"/>
    <x v="7"/>
    <n v="10984"/>
    <n v="3"/>
    <n v="32952"/>
    <s v="E-commerce"/>
  </r>
  <r>
    <x v="8"/>
    <x v="17"/>
    <s v="West"/>
    <x v="0"/>
    <x v="0"/>
    <x v="0"/>
    <n v="13665"/>
    <n v="10"/>
    <n v="136650"/>
    <s v="E-commerce"/>
  </r>
  <r>
    <x v="8"/>
    <x v="17"/>
    <s v="West"/>
    <x v="0"/>
    <x v="0"/>
    <x v="1"/>
    <n v="10624"/>
    <n v="20"/>
    <n v="212480"/>
    <s v="Retail"/>
  </r>
  <r>
    <x v="8"/>
    <x v="17"/>
    <s v="West"/>
    <x v="0"/>
    <x v="0"/>
    <x v="2"/>
    <n v="12614"/>
    <n v="30"/>
    <n v="378420"/>
    <s v="E-commerce"/>
  </r>
  <r>
    <x v="8"/>
    <x v="17"/>
    <s v="West"/>
    <x v="0"/>
    <x v="0"/>
    <x v="3"/>
    <n v="11510"/>
    <n v="15"/>
    <n v="172650"/>
    <s v="E-commerce"/>
  </r>
  <r>
    <x v="8"/>
    <x v="17"/>
    <s v="West"/>
    <x v="1"/>
    <x v="1"/>
    <x v="4"/>
    <n v="9218"/>
    <n v="2"/>
    <n v="18436"/>
    <s v="Retail"/>
  </r>
  <r>
    <x v="8"/>
    <x v="17"/>
    <s v="West"/>
    <x v="1"/>
    <x v="1"/>
    <x v="5"/>
    <n v="6057"/>
    <n v="2"/>
    <n v="12114"/>
    <s v="E-commerce"/>
  </r>
  <r>
    <x v="8"/>
    <x v="17"/>
    <s v="West"/>
    <x v="1"/>
    <x v="1"/>
    <x v="6"/>
    <n v="10058"/>
    <n v="5"/>
    <n v="50290"/>
    <s v="Retail"/>
  </r>
  <r>
    <x v="8"/>
    <x v="17"/>
    <s v="West"/>
    <x v="1"/>
    <x v="2"/>
    <x v="7"/>
    <n v="14759"/>
    <n v="3"/>
    <n v="44277"/>
    <s v="E-commerce"/>
  </r>
  <r>
    <x v="8"/>
    <x v="18"/>
    <s v="West"/>
    <x v="0"/>
    <x v="0"/>
    <x v="0"/>
    <n v="14206"/>
    <n v="10"/>
    <n v="142060"/>
    <s v="E-commerce"/>
  </r>
  <r>
    <x v="8"/>
    <x v="18"/>
    <s v="West"/>
    <x v="0"/>
    <x v="0"/>
    <x v="1"/>
    <n v="6942"/>
    <n v="20"/>
    <n v="138840"/>
    <s v="Wholesale"/>
  </r>
  <r>
    <x v="8"/>
    <x v="18"/>
    <s v="West"/>
    <x v="0"/>
    <x v="0"/>
    <x v="2"/>
    <n v="13247"/>
    <n v="30"/>
    <n v="397410"/>
    <s v="Retail"/>
  </r>
  <r>
    <x v="8"/>
    <x v="18"/>
    <s v="West"/>
    <x v="0"/>
    <x v="0"/>
    <x v="3"/>
    <n v="8176"/>
    <n v="15"/>
    <n v="122640"/>
    <s v="Retail"/>
  </r>
  <r>
    <x v="8"/>
    <x v="18"/>
    <s v="West"/>
    <x v="1"/>
    <x v="1"/>
    <x v="4"/>
    <n v="6472"/>
    <n v="2"/>
    <n v="12944"/>
    <s v="Wholesale"/>
  </r>
  <r>
    <x v="8"/>
    <x v="18"/>
    <s v="West"/>
    <x v="1"/>
    <x v="1"/>
    <x v="5"/>
    <n v="8984"/>
    <n v="2"/>
    <n v="17968"/>
    <s v="E-commerce"/>
  </r>
  <r>
    <x v="8"/>
    <x v="18"/>
    <s v="West"/>
    <x v="1"/>
    <x v="1"/>
    <x v="6"/>
    <n v="14003"/>
    <n v="5"/>
    <n v="70015"/>
    <s v="Wholesale"/>
  </r>
  <r>
    <x v="8"/>
    <x v="18"/>
    <s v="West"/>
    <x v="1"/>
    <x v="2"/>
    <x v="7"/>
    <n v="10361"/>
    <n v="3"/>
    <n v="31083"/>
    <s v="E-commerce"/>
  </r>
  <r>
    <x v="8"/>
    <x v="19"/>
    <s v="West"/>
    <x v="0"/>
    <x v="0"/>
    <x v="0"/>
    <n v="12471"/>
    <n v="10"/>
    <n v="124710"/>
    <s v="Wholesale"/>
  </r>
  <r>
    <x v="8"/>
    <x v="19"/>
    <s v="West"/>
    <x v="0"/>
    <x v="0"/>
    <x v="1"/>
    <n v="14625"/>
    <n v="20"/>
    <n v="292500"/>
    <s v="Wholesale"/>
  </r>
  <r>
    <x v="8"/>
    <x v="19"/>
    <s v="West"/>
    <x v="0"/>
    <x v="0"/>
    <x v="2"/>
    <n v="11484"/>
    <n v="30"/>
    <n v="344520"/>
    <s v="E-commerce"/>
  </r>
  <r>
    <x v="8"/>
    <x v="19"/>
    <s v="West"/>
    <x v="0"/>
    <x v="0"/>
    <x v="3"/>
    <n v="8959"/>
    <n v="15"/>
    <n v="134385"/>
    <s v="Retail"/>
  </r>
  <r>
    <x v="8"/>
    <x v="19"/>
    <s v="West"/>
    <x v="1"/>
    <x v="1"/>
    <x v="4"/>
    <n v="6907"/>
    <n v="2"/>
    <n v="13814"/>
    <s v="Retail"/>
  </r>
  <r>
    <x v="8"/>
    <x v="19"/>
    <s v="West"/>
    <x v="1"/>
    <x v="1"/>
    <x v="5"/>
    <n v="11573"/>
    <n v="2"/>
    <n v="23146"/>
    <s v="E-commerce"/>
  </r>
  <r>
    <x v="8"/>
    <x v="19"/>
    <s v="West"/>
    <x v="1"/>
    <x v="1"/>
    <x v="6"/>
    <n v="12739"/>
    <n v="5"/>
    <n v="63695"/>
    <s v="Retail"/>
  </r>
  <r>
    <x v="8"/>
    <x v="19"/>
    <s v="West"/>
    <x v="1"/>
    <x v="2"/>
    <x v="7"/>
    <n v="14174"/>
    <n v="3"/>
    <n v="42522"/>
    <s v="Wholesale"/>
  </r>
  <r>
    <x v="8"/>
    <x v="20"/>
    <s v="West"/>
    <x v="0"/>
    <x v="0"/>
    <x v="0"/>
    <n v="9800"/>
    <n v="10"/>
    <n v="98000"/>
    <s v="Retail"/>
  </r>
  <r>
    <x v="8"/>
    <x v="20"/>
    <s v="West"/>
    <x v="0"/>
    <x v="0"/>
    <x v="1"/>
    <n v="14387"/>
    <n v="20"/>
    <n v="287740"/>
    <s v="Wholesale"/>
  </r>
  <r>
    <x v="8"/>
    <x v="20"/>
    <s v="West"/>
    <x v="0"/>
    <x v="0"/>
    <x v="2"/>
    <n v="10760"/>
    <n v="30"/>
    <n v="322800"/>
    <s v="E-commerce"/>
  </r>
  <r>
    <x v="8"/>
    <x v="20"/>
    <s v="West"/>
    <x v="0"/>
    <x v="0"/>
    <x v="3"/>
    <n v="11954"/>
    <n v="15"/>
    <n v="179310"/>
    <s v="E-commerce"/>
  </r>
  <r>
    <x v="8"/>
    <x v="20"/>
    <s v="West"/>
    <x v="1"/>
    <x v="1"/>
    <x v="4"/>
    <n v="7802"/>
    <n v="2"/>
    <n v="15604"/>
    <s v="Wholesale"/>
  </r>
  <r>
    <x v="8"/>
    <x v="20"/>
    <s v="West"/>
    <x v="1"/>
    <x v="1"/>
    <x v="5"/>
    <n v="6608"/>
    <n v="2"/>
    <n v="13216"/>
    <s v="Wholesale"/>
  </r>
  <r>
    <x v="8"/>
    <x v="20"/>
    <s v="West"/>
    <x v="1"/>
    <x v="1"/>
    <x v="6"/>
    <n v="6503"/>
    <n v="5"/>
    <n v="32515"/>
    <s v="E-commerce"/>
  </r>
  <r>
    <x v="8"/>
    <x v="20"/>
    <s v="West"/>
    <x v="1"/>
    <x v="2"/>
    <x v="7"/>
    <n v="8814"/>
    <n v="3"/>
    <n v="26442"/>
    <s v="Wholesale"/>
  </r>
  <r>
    <x v="8"/>
    <x v="21"/>
    <s v="West"/>
    <x v="0"/>
    <x v="0"/>
    <x v="0"/>
    <n v="6469"/>
    <n v="10"/>
    <n v="64690"/>
    <s v="Retail"/>
  </r>
  <r>
    <x v="8"/>
    <x v="21"/>
    <s v="West"/>
    <x v="0"/>
    <x v="0"/>
    <x v="1"/>
    <n v="13849"/>
    <n v="20"/>
    <n v="276980"/>
    <s v="Wholesale"/>
  </r>
  <r>
    <x v="8"/>
    <x v="21"/>
    <s v="West"/>
    <x v="0"/>
    <x v="0"/>
    <x v="2"/>
    <n v="7300"/>
    <n v="30"/>
    <n v="219000"/>
    <s v="Retail"/>
  </r>
  <r>
    <x v="8"/>
    <x v="21"/>
    <s v="West"/>
    <x v="0"/>
    <x v="0"/>
    <x v="3"/>
    <n v="5756"/>
    <n v="15"/>
    <n v="86340"/>
    <s v="Wholesale"/>
  </r>
  <r>
    <x v="8"/>
    <x v="21"/>
    <s v="West"/>
    <x v="1"/>
    <x v="1"/>
    <x v="4"/>
    <n v="8797"/>
    <n v="2"/>
    <n v="17594"/>
    <s v="Retail"/>
  </r>
  <r>
    <x v="8"/>
    <x v="21"/>
    <s v="West"/>
    <x v="1"/>
    <x v="1"/>
    <x v="5"/>
    <n v="13797"/>
    <n v="2"/>
    <n v="27594"/>
    <s v="E-commerce"/>
  </r>
  <r>
    <x v="8"/>
    <x v="21"/>
    <s v="West"/>
    <x v="1"/>
    <x v="1"/>
    <x v="6"/>
    <n v="14752"/>
    <n v="5"/>
    <n v="73760"/>
    <s v="Retail"/>
  </r>
  <r>
    <x v="8"/>
    <x v="21"/>
    <s v="West"/>
    <x v="1"/>
    <x v="2"/>
    <x v="7"/>
    <n v="10168"/>
    <n v="3"/>
    <n v="30504"/>
    <s v="Wholesale"/>
  </r>
  <r>
    <x v="9"/>
    <x v="0"/>
    <s v="North"/>
    <x v="0"/>
    <x v="0"/>
    <x v="0"/>
    <n v="8351"/>
    <n v="10"/>
    <n v="83510"/>
    <s v="Retail"/>
  </r>
  <r>
    <x v="9"/>
    <x v="0"/>
    <s v="North"/>
    <x v="0"/>
    <x v="0"/>
    <x v="1"/>
    <n v="8332"/>
    <n v="20"/>
    <n v="166640"/>
    <s v="Wholesale"/>
  </r>
  <r>
    <x v="9"/>
    <x v="0"/>
    <s v="North"/>
    <x v="0"/>
    <x v="0"/>
    <x v="2"/>
    <n v="8956"/>
    <n v="30"/>
    <n v="268680"/>
    <s v="E-commerce"/>
  </r>
  <r>
    <x v="9"/>
    <x v="0"/>
    <s v="North"/>
    <x v="0"/>
    <x v="0"/>
    <x v="3"/>
    <n v="8305"/>
    <n v="15"/>
    <n v="124575"/>
    <s v="Retail"/>
  </r>
  <r>
    <x v="9"/>
    <x v="0"/>
    <s v="North"/>
    <x v="1"/>
    <x v="1"/>
    <x v="4"/>
    <n v="18984"/>
    <n v="2"/>
    <n v="37968"/>
    <s v="Retail"/>
  </r>
  <r>
    <x v="9"/>
    <x v="0"/>
    <s v="North"/>
    <x v="1"/>
    <x v="1"/>
    <x v="5"/>
    <n v="19726"/>
    <n v="2"/>
    <n v="39452"/>
    <s v="Retail"/>
  </r>
  <r>
    <x v="9"/>
    <x v="0"/>
    <s v="North"/>
    <x v="1"/>
    <x v="1"/>
    <x v="6"/>
    <n v="8742"/>
    <n v="5"/>
    <n v="43710"/>
    <s v="E-commerce"/>
  </r>
  <r>
    <x v="9"/>
    <x v="0"/>
    <s v="North"/>
    <x v="1"/>
    <x v="2"/>
    <x v="7"/>
    <n v="15402"/>
    <n v="3"/>
    <n v="46206"/>
    <s v="Retail"/>
  </r>
  <r>
    <x v="9"/>
    <x v="1"/>
    <s v="North"/>
    <x v="0"/>
    <x v="0"/>
    <x v="0"/>
    <n v="11018"/>
    <n v="10"/>
    <n v="110180"/>
    <s v="Wholesale"/>
  </r>
  <r>
    <x v="9"/>
    <x v="1"/>
    <s v="North"/>
    <x v="0"/>
    <x v="0"/>
    <x v="1"/>
    <n v="17432"/>
    <n v="20"/>
    <n v="348640"/>
    <s v="E-commerce"/>
  </r>
  <r>
    <x v="9"/>
    <x v="1"/>
    <s v="North"/>
    <x v="0"/>
    <x v="0"/>
    <x v="2"/>
    <n v="13672"/>
    <n v="30"/>
    <n v="410160"/>
    <s v="Wholesale"/>
  </r>
  <r>
    <x v="9"/>
    <x v="1"/>
    <s v="North"/>
    <x v="0"/>
    <x v="0"/>
    <x v="3"/>
    <n v="14729"/>
    <n v="15"/>
    <n v="220935"/>
    <s v="Retail"/>
  </r>
  <r>
    <x v="9"/>
    <x v="1"/>
    <s v="North"/>
    <x v="1"/>
    <x v="1"/>
    <x v="4"/>
    <n v="10761"/>
    <n v="2"/>
    <n v="21522"/>
    <s v="Retail"/>
  </r>
  <r>
    <x v="9"/>
    <x v="1"/>
    <s v="North"/>
    <x v="1"/>
    <x v="1"/>
    <x v="5"/>
    <n v="9767"/>
    <n v="2"/>
    <n v="19534"/>
    <s v="E-commerce"/>
  </r>
  <r>
    <x v="9"/>
    <x v="1"/>
    <s v="North"/>
    <x v="1"/>
    <x v="1"/>
    <x v="6"/>
    <n v="20878"/>
    <n v="5"/>
    <n v="104390"/>
    <s v="E-commerce"/>
  </r>
  <r>
    <x v="9"/>
    <x v="1"/>
    <s v="North"/>
    <x v="1"/>
    <x v="2"/>
    <x v="7"/>
    <n v="13288"/>
    <n v="3"/>
    <n v="39864"/>
    <s v="Retail"/>
  </r>
  <r>
    <x v="9"/>
    <x v="2"/>
    <s v="North"/>
    <x v="0"/>
    <x v="0"/>
    <x v="0"/>
    <n v="11567"/>
    <n v="10"/>
    <n v="115670"/>
    <s v="Wholesale"/>
  </r>
  <r>
    <x v="9"/>
    <x v="2"/>
    <s v="North"/>
    <x v="0"/>
    <x v="0"/>
    <x v="1"/>
    <n v="8800"/>
    <n v="20"/>
    <n v="176000"/>
    <s v="Wholesale"/>
  </r>
  <r>
    <x v="9"/>
    <x v="2"/>
    <s v="North"/>
    <x v="0"/>
    <x v="0"/>
    <x v="2"/>
    <n v="13241"/>
    <n v="30"/>
    <n v="397230"/>
    <s v="Retail"/>
  </r>
  <r>
    <x v="9"/>
    <x v="2"/>
    <s v="North"/>
    <x v="0"/>
    <x v="0"/>
    <x v="3"/>
    <n v="8238"/>
    <n v="15"/>
    <n v="123570"/>
    <s v="Retail"/>
  </r>
  <r>
    <x v="9"/>
    <x v="2"/>
    <s v="North"/>
    <x v="1"/>
    <x v="1"/>
    <x v="4"/>
    <n v="12732"/>
    <n v="2"/>
    <n v="25464"/>
    <s v="E-commerce"/>
  </r>
  <r>
    <x v="9"/>
    <x v="2"/>
    <s v="North"/>
    <x v="1"/>
    <x v="1"/>
    <x v="5"/>
    <n v="14463"/>
    <n v="2"/>
    <n v="28926"/>
    <s v="Wholesale"/>
  </r>
  <r>
    <x v="9"/>
    <x v="2"/>
    <s v="North"/>
    <x v="1"/>
    <x v="1"/>
    <x v="6"/>
    <n v="10738"/>
    <n v="5"/>
    <n v="53690"/>
    <s v="E-commerce"/>
  </r>
  <r>
    <x v="9"/>
    <x v="2"/>
    <s v="North"/>
    <x v="1"/>
    <x v="2"/>
    <x v="7"/>
    <n v="18351"/>
    <n v="3"/>
    <n v="55053"/>
    <s v="E-commerce"/>
  </r>
  <r>
    <x v="9"/>
    <x v="3"/>
    <s v="North"/>
    <x v="0"/>
    <x v="0"/>
    <x v="0"/>
    <n v="8795"/>
    <n v="10"/>
    <n v="87950"/>
    <s v="E-commerce"/>
  </r>
  <r>
    <x v="9"/>
    <x v="3"/>
    <s v="North"/>
    <x v="0"/>
    <x v="0"/>
    <x v="1"/>
    <n v="14093"/>
    <n v="20"/>
    <n v="281860"/>
    <s v="Retail"/>
  </r>
  <r>
    <x v="9"/>
    <x v="3"/>
    <s v="North"/>
    <x v="0"/>
    <x v="0"/>
    <x v="2"/>
    <n v="16121"/>
    <n v="30"/>
    <n v="483630"/>
    <s v="Retail"/>
  </r>
  <r>
    <x v="9"/>
    <x v="3"/>
    <s v="North"/>
    <x v="0"/>
    <x v="0"/>
    <x v="3"/>
    <n v="9781"/>
    <n v="15"/>
    <n v="146715"/>
    <s v="Retail"/>
  </r>
  <r>
    <x v="9"/>
    <x v="3"/>
    <s v="North"/>
    <x v="1"/>
    <x v="1"/>
    <x v="4"/>
    <n v="19125"/>
    <n v="2"/>
    <n v="38250"/>
    <s v="Retail"/>
  </r>
  <r>
    <x v="9"/>
    <x v="3"/>
    <s v="North"/>
    <x v="1"/>
    <x v="1"/>
    <x v="5"/>
    <n v="12865"/>
    <n v="2"/>
    <n v="25730"/>
    <s v="Wholesale"/>
  </r>
  <r>
    <x v="9"/>
    <x v="3"/>
    <s v="North"/>
    <x v="1"/>
    <x v="1"/>
    <x v="6"/>
    <n v="15365"/>
    <n v="5"/>
    <n v="76825"/>
    <s v="Wholesale"/>
  </r>
  <r>
    <x v="9"/>
    <x v="3"/>
    <s v="North"/>
    <x v="1"/>
    <x v="2"/>
    <x v="7"/>
    <n v="19183"/>
    <n v="3"/>
    <n v="57549"/>
    <s v="Retail"/>
  </r>
  <r>
    <x v="9"/>
    <x v="4"/>
    <s v="North"/>
    <x v="0"/>
    <x v="0"/>
    <x v="0"/>
    <n v="13573"/>
    <n v="10"/>
    <n v="135730"/>
    <s v="E-commerce"/>
  </r>
  <r>
    <x v="9"/>
    <x v="4"/>
    <s v="North"/>
    <x v="0"/>
    <x v="0"/>
    <x v="1"/>
    <n v="8116"/>
    <n v="20"/>
    <n v="162320"/>
    <s v="E-commerce"/>
  </r>
  <r>
    <x v="9"/>
    <x v="4"/>
    <s v="North"/>
    <x v="0"/>
    <x v="0"/>
    <x v="2"/>
    <n v="14583"/>
    <n v="30"/>
    <n v="437490"/>
    <s v="Retail"/>
  </r>
  <r>
    <x v="9"/>
    <x v="4"/>
    <s v="North"/>
    <x v="0"/>
    <x v="0"/>
    <x v="3"/>
    <n v="9702"/>
    <n v="15"/>
    <n v="145530"/>
    <s v="Wholesale"/>
  </r>
  <r>
    <x v="9"/>
    <x v="4"/>
    <s v="North"/>
    <x v="1"/>
    <x v="1"/>
    <x v="4"/>
    <n v="10800"/>
    <n v="2"/>
    <n v="21600"/>
    <s v="Retail"/>
  </r>
  <r>
    <x v="9"/>
    <x v="4"/>
    <s v="North"/>
    <x v="1"/>
    <x v="1"/>
    <x v="5"/>
    <n v="12762"/>
    <n v="2"/>
    <n v="25524"/>
    <s v="E-commerce"/>
  </r>
  <r>
    <x v="9"/>
    <x v="4"/>
    <s v="North"/>
    <x v="1"/>
    <x v="1"/>
    <x v="6"/>
    <n v="14624"/>
    <n v="5"/>
    <n v="73120"/>
    <s v="Wholesale"/>
  </r>
  <r>
    <x v="9"/>
    <x v="4"/>
    <s v="North"/>
    <x v="1"/>
    <x v="2"/>
    <x v="7"/>
    <n v="15090"/>
    <n v="3"/>
    <n v="45270"/>
    <s v="E-commerce"/>
  </r>
  <r>
    <x v="9"/>
    <x v="5"/>
    <s v="North"/>
    <x v="0"/>
    <x v="0"/>
    <x v="0"/>
    <n v="11328"/>
    <n v="10"/>
    <n v="113280"/>
    <s v="Wholesale"/>
  </r>
  <r>
    <x v="9"/>
    <x v="5"/>
    <s v="North"/>
    <x v="0"/>
    <x v="0"/>
    <x v="1"/>
    <n v="20514"/>
    <n v="20"/>
    <n v="410280"/>
    <s v="Wholesale"/>
  </r>
  <r>
    <x v="9"/>
    <x v="5"/>
    <s v="North"/>
    <x v="0"/>
    <x v="0"/>
    <x v="2"/>
    <n v="15220"/>
    <n v="30"/>
    <n v="456600"/>
    <s v="Wholesale"/>
  </r>
  <r>
    <x v="9"/>
    <x v="5"/>
    <s v="North"/>
    <x v="0"/>
    <x v="0"/>
    <x v="3"/>
    <n v="13999"/>
    <n v="15"/>
    <n v="209985"/>
    <s v="Retail"/>
  </r>
  <r>
    <x v="9"/>
    <x v="5"/>
    <s v="North"/>
    <x v="1"/>
    <x v="1"/>
    <x v="4"/>
    <n v="12656"/>
    <n v="2"/>
    <n v="25312"/>
    <s v="E-commerce"/>
  </r>
  <r>
    <x v="9"/>
    <x v="5"/>
    <s v="North"/>
    <x v="1"/>
    <x v="1"/>
    <x v="5"/>
    <n v="10787"/>
    <n v="2"/>
    <n v="21574"/>
    <s v="Wholesale"/>
  </r>
  <r>
    <x v="9"/>
    <x v="5"/>
    <s v="North"/>
    <x v="1"/>
    <x v="1"/>
    <x v="6"/>
    <n v="14685"/>
    <n v="5"/>
    <n v="73425"/>
    <s v="Retail"/>
  </r>
  <r>
    <x v="9"/>
    <x v="5"/>
    <s v="North"/>
    <x v="1"/>
    <x v="2"/>
    <x v="7"/>
    <n v="19168"/>
    <n v="3"/>
    <n v="57504"/>
    <s v="E-commerce"/>
  </r>
  <r>
    <x v="9"/>
    <x v="6"/>
    <s v="North"/>
    <x v="0"/>
    <x v="0"/>
    <x v="0"/>
    <n v="13475"/>
    <n v="10"/>
    <n v="134750"/>
    <s v="Wholesale"/>
  </r>
  <r>
    <x v="9"/>
    <x v="6"/>
    <s v="North"/>
    <x v="0"/>
    <x v="0"/>
    <x v="1"/>
    <n v="7600"/>
    <n v="20"/>
    <n v="152000"/>
    <s v="Wholesale"/>
  </r>
  <r>
    <x v="9"/>
    <x v="6"/>
    <s v="North"/>
    <x v="0"/>
    <x v="0"/>
    <x v="2"/>
    <n v="13332"/>
    <n v="30"/>
    <n v="399960"/>
    <s v="E-commerce"/>
  </r>
  <r>
    <x v="9"/>
    <x v="6"/>
    <s v="North"/>
    <x v="0"/>
    <x v="0"/>
    <x v="3"/>
    <n v="18416"/>
    <n v="15"/>
    <n v="276240"/>
    <s v="E-commerce"/>
  </r>
  <r>
    <x v="9"/>
    <x v="6"/>
    <s v="North"/>
    <x v="1"/>
    <x v="1"/>
    <x v="4"/>
    <n v="7634"/>
    <n v="2"/>
    <n v="15268"/>
    <s v="Retail"/>
  </r>
  <r>
    <x v="9"/>
    <x v="6"/>
    <s v="North"/>
    <x v="1"/>
    <x v="1"/>
    <x v="5"/>
    <n v="19018"/>
    <n v="2"/>
    <n v="38036"/>
    <s v="E-commerce"/>
  </r>
  <r>
    <x v="9"/>
    <x v="6"/>
    <s v="North"/>
    <x v="1"/>
    <x v="1"/>
    <x v="6"/>
    <n v="8943"/>
    <n v="5"/>
    <n v="44715"/>
    <s v="Retail"/>
  </r>
  <r>
    <x v="9"/>
    <x v="6"/>
    <s v="North"/>
    <x v="1"/>
    <x v="2"/>
    <x v="7"/>
    <n v="14015"/>
    <n v="3"/>
    <n v="42045"/>
    <s v="E-commerce"/>
  </r>
  <r>
    <x v="9"/>
    <x v="7"/>
    <s v="South"/>
    <x v="0"/>
    <x v="0"/>
    <x v="0"/>
    <n v="19825"/>
    <n v="10"/>
    <n v="198250"/>
    <s v="Retail"/>
  </r>
  <r>
    <x v="9"/>
    <x v="7"/>
    <s v="South"/>
    <x v="0"/>
    <x v="0"/>
    <x v="1"/>
    <n v="12460"/>
    <n v="20"/>
    <n v="249200"/>
    <s v="E-commerce"/>
  </r>
  <r>
    <x v="9"/>
    <x v="7"/>
    <s v="South"/>
    <x v="0"/>
    <x v="0"/>
    <x v="2"/>
    <n v="16075"/>
    <n v="30"/>
    <n v="482250"/>
    <s v="Wholesale"/>
  </r>
  <r>
    <x v="9"/>
    <x v="7"/>
    <s v="South"/>
    <x v="0"/>
    <x v="0"/>
    <x v="3"/>
    <n v="12037"/>
    <n v="15"/>
    <n v="180555"/>
    <s v="Wholesale"/>
  </r>
  <r>
    <x v="9"/>
    <x v="7"/>
    <s v="South"/>
    <x v="1"/>
    <x v="1"/>
    <x v="4"/>
    <n v="15549"/>
    <n v="2"/>
    <n v="31098"/>
    <s v="E-commerce"/>
  </r>
  <r>
    <x v="9"/>
    <x v="7"/>
    <s v="South"/>
    <x v="1"/>
    <x v="1"/>
    <x v="5"/>
    <n v="18337"/>
    <n v="2"/>
    <n v="36674"/>
    <s v="Retail"/>
  </r>
  <r>
    <x v="9"/>
    <x v="7"/>
    <s v="South"/>
    <x v="1"/>
    <x v="1"/>
    <x v="6"/>
    <n v="12579"/>
    <n v="5"/>
    <n v="62895"/>
    <s v="E-commerce"/>
  </r>
  <r>
    <x v="9"/>
    <x v="7"/>
    <s v="South"/>
    <x v="1"/>
    <x v="2"/>
    <x v="7"/>
    <n v="7834"/>
    <n v="3"/>
    <n v="23502"/>
    <s v="E-commerce"/>
  </r>
  <r>
    <x v="9"/>
    <x v="8"/>
    <s v="South"/>
    <x v="0"/>
    <x v="0"/>
    <x v="0"/>
    <n v="12060"/>
    <n v="10"/>
    <n v="120600"/>
    <s v="Retail"/>
  </r>
  <r>
    <x v="9"/>
    <x v="8"/>
    <s v="South"/>
    <x v="0"/>
    <x v="0"/>
    <x v="1"/>
    <n v="12319"/>
    <n v="20"/>
    <n v="246380"/>
    <s v="Wholesale"/>
  </r>
  <r>
    <x v="9"/>
    <x v="8"/>
    <s v="South"/>
    <x v="0"/>
    <x v="0"/>
    <x v="2"/>
    <n v="9639"/>
    <n v="30"/>
    <n v="289170"/>
    <s v="Wholesale"/>
  </r>
  <r>
    <x v="9"/>
    <x v="8"/>
    <s v="South"/>
    <x v="0"/>
    <x v="0"/>
    <x v="3"/>
    <n v="17163"/>
    <n v="15"/>
    <n v="257445"/>
    <s v="Wholesale"/>
  </r>
  <r>
    <x v="9"/>
    <x v="8"/>
    <s v="South"/>
    <x v="1"/>
    <x v="1"/>
    <x v="4"/>
    <n v="19325"/>
    <n v="2"/>
    <n v="38650"/>
    <s v="Wholesale"/>
  </r>
  <r>
    <x v="9"/>
    <x v="8"/>
    <s v="South"/>
    <x v="1"/>
    <x v="1"/>
    <x v="5"/>
    <n v="14529"/>
    <n v="2"/>
    <n v="29058"/>
    <s v="Retail"/>
  </r>
  <r>
    <x v="9"/>
    <x v="8"/>
    <s v="South"/>
    <x v="1"/>
    <x v="1"/>
    <x v="6"/>
    <n v="11788"/>
    <n v="5"/>
    <n v="58940"/>
    <s v="Retail"/>
  </r>
  <r>
    <x v="9"/>
    <x v="8"/>
    <s v="South"/>
    <x v="1"/>
    <x v="2"/>
    <x v="7"/>
    <n v="12075"/>
    <n v="3"/>
    <n v="36225"/>
    <s v="Wholesale"/>
  </r>
  <r>
    <x v="9"/>
    <x v="9"/>
    <s v="South"/>
    <x v="0"/>
    <x v="0"/>
    <x v="0"/>
    <n v="13281"/>
    <n v="10"/>
    <n v="132810"/>
    <s v="Retail"/>
  </r>
  <r>
    <x v="9"/>
    <x v="9"/>
    <s v="South"/>
    <x v="0"/>
    <x v="0"/>
    <x v="1"/>
    <n v="11655"/>
    <n v="20"/>
    <n v="233100"/>
    <s v="Retail"/>
  </r>
  <r>
    <x v="9"/>
    <x v="9"/>
    <s v="South"/>
    <x v="0"/>
    <x v="0"/>
    <x v="2"/>
    <n v="19903"/>
    <n v="30"/>
    <n v="597090"/>
    <s v="Wholesale"/>
  </r>
  <r>
    <x v="9"/>
    <x v="9"/>
    <s v="South"/>
    <x v="0"/>
    <x v="0"/>
    <x v="3"/>
    <n v="13706"/>
    <n v="15"/>
    <n v="205590"/>
    <s v="Wholesale"/>
  </r>
  <r>
    <x v="9"/>
    <x v="9"/>
    <s v="South"/>
    <x v="1"/>
    <x v="1"/>
    <x v="4"/>
    <n v="16395"/>
    <n v="2"/>
    <n v="32790"/>
    <s v="Retail"/>
  </r>
  <r>
    <x v="9"/>
    <x v="9"/>
    <s v="South"/>
    <x v="1"/>
    <x v="1"/>
    <x v="5"/>
    <n v="13807"/>
    <n v="2"/>
    <n v="27614"/>
    <s v="Retail"/>
  </r>
  <r>
    <x v="9"/>
    <x v="9"/>
    <s v="South"/>
    <x v="1"/>
    <x v="1"/>
    <x v="6"/>
    <n v="18162"/>
    <n v="5"/>
    <n v="90810"/>
    <s v="E-commerce"/>
  </r>
  <r>
    <x v="9"/>
    <x v="9"/>
    <s v="South"/>
    <x v="1"/>
    <x v="2"/>
    <x v="7"/>
    <n v="17531"/>
    <n v="3"/>
    <n v="52593"/>
    <s v="E-commerce"/>
  </r>
  <r>
    <x v="9"/>
    <x v="10"/>
    <s v="South"/>
    <x v="0"/>
    <x v="0"/>
    <x v="0"/>
    <n v="10401"/>
    <n v="10"/>
    <n v="104010"/>
    <s v="Retail"/>
  </r>
  <r>
    <x v="9"/>
    <x v="10"/>
    <s v="South"/>
    <x v="0"/>
    <x v="0"/>
    <x v="1"/>
    <n v="20069"/>
    <n v="20"/>
    <n v="401380"/>
    <s v="E-commerce"/>
  </r>
  <r>
    <x v="9"/>
    <x v="10"/>
    <s v="South"/>
    <x v="0"/>
    <x v="0"/>
    <x v="2"/>
    <n v="16562"/>
    <n v="30"/>
    <n v="496860"/>
    <s v="E-commerce"/>
  </r>
  <r>
    <x v="9"/>
    <x v="10"/>
    <s v="South"/>
    <x v="0"/>
    <x v="0"/>
    <x v="3"/>
    <n v="15676"/>
    <n v="15"/>
    <n v="235140"/>
    <s v="Wholesale"/>
  </r>
  <r>
    <x v="9"/>
    <x v="10"/>
    <s v="South"/>
    <x v="1"/>
    <x v="1"/>
    <x v="4"/>
    <n v="21060"/>
    <n v="2"/>
    <n v="42120"/>
    <s v="E-commerce"/>
  </r>
  <r>
    <x v="9"/>
    <x v="10"/>
    <s v="South"/>
    <x v="1"/>
    <x v="1"/>
    <x v="5"/>
    <n v="17542"/>
    <n v="2"/>
    <n v="35084"/>
    <s v="Wholesale"/>
  </r>
  <r>
    <x v="9"/>
    <x v="10"/>
    <s v="South"/>
    <x v="1"/>
    <x v="1"/>
    <x v="6"/>
    <n v="7655"/>
    <n v="5"/>
    <n v="38275"/>
    <s v="Wholesale"/>
  </r>
  <r>
    <x v="9"/>
    <x v="10"/>
    <s v="South"/>
    <x v="1"/>
    <x v="2"/>
    <x v="7"/>
    <n v="14155"/>
    <n v="3"/>
    <n v="42465"/>
    <s v="Retail"/>
  </r>
  <r>
    <x v="9"/>
    <x v="11"/>
    <s v="South"/>
    <x v="0"/>
    <x v="0"/>
    <x v="0"/>
    <n v="12531"/>
    <n v="10"/>
    <n v="125310"/>
    <s v="E-commerce"/>
  </r>
  <r>
    <x v="9"/>
    <x v="11"/>
    <s v="South"/>
    <x v="0"/>
    <x v="0"/>
    <x v="1"/>
    <n v="16324"/>
    <n v="20"/>
    <n v="326480"/>
    <s v="E-commerce"/>
  </r>
  <r>
    <x v="9"/>
    <x v="11"/>
    <s v="South"/>
    <x v="0"/>
    <x v="0"/>
    <x v="2"/>
    <n v="18138"/>
    <n v="30"/>
    <n v="544140"/>
    <s v="Retail"/>
  </r>
  <r>
    <x v="9"/>
    <x v="11"/>
    <s v="South"/>
    <x v="0"/>
    <x v="0"/>
    <x v="3"/>
    <n v="7329"/>
    <n v="15"/>
    <n v="109935"/>
    <s v="Retail"/>
  </r>
  <r>
    <x v="9"/>
    <x v="11"/>
    <s v="South"/>
    <x v="1"/>
    <x v="1"/>
    <x v="4"/>
    <n v="13275"/>
    <n v="2"/>
    <n v="26550"/>
    <s v="Retail"/>
  </r>
  <r>
    <x v="9"/>
    <x v="11"/>
    <s v="South"/>
    <x v="1"/>
    <x v="1"/>
    <x v="5"/>
    <n v="19488"/>
    <n v="2"/>
    <n v="38976"/>
    <s v="E-commerce"/>
  </r>
  <r>
    <x v="9"/>
    <x v="11"/>
    <s v="South"/>
    <x v="1"/>
    <x v="1"/>
    <x v="6"/>
    <n v="16531"/>
    <n v="5"/>
    <n v="82655"/>
    <s v="E-commerce"/>
  </r>
  <r>
    <x v="9"/>
    <x v="11"/>
    <s v="South"/>
    <x v="1"/>
    <x v="2"/>
    <x v="7"/>
    <n v="6985"/>
    <n v="3"/>
    <n v="20955"/>
    <s v="E-commerce"/>
  </r>
  <r>
    <x v="9"/>
    <x v="12"/>
    <s v="East"/>
    <x v="0"/>
    <x v="0"/>
    <x v="0"/>
    <n v="8210"/>
    <n v="10"/>
    <n v="82100"/>
    <s v="Retail"/>
  </r>
  <r>
    <x v="9"/>
    <x v="12"/>
    <s v="East"/>
    <x v="0"/>
    <x v="0"/>
    <x v="1"/>
    <n v="11115"/>
    <n v="20"/>
    <n v="222300"/>
    <s v="Wholesale"/>
  </r>
  <r>
    <x v="9"/>
    <x v="12"/>
    <s v="East"/>
    <x v="0"/>
    <x v="0"/>
    <x v="2"/>
    <n v="8437"/>
    <n v="30"/>
    <n v="253110"/>
    <s v="Wholesale"/>
  </r>
  <r>
    <x v="9"/>
    <x v="12"/>
    <s v="East"/>
    <x v="0"/>
    <x v="0"/>
    <x v="3"/>
    <n v="14055"/>
    <n v="15"/>
    <n v="210825"/>
    <s v="Retail"/>
  </r>
  <r>
    <x v="9"/>
    <x v="12"/>
    <s v="East"/>
    <x v="1"/>
    <x v="1"/>
    <x v="4"/>
    <n v="12655"/>
    <n v="2"/>
    <n v="25310"/>
    <s v="E-commerce"/>
  </r>
  <r>
    <x v="9"/>
    <x v="12"/>
    <s v="East"/>
    <x v="1"/>
    <x v="1"/>
    <x v="5"/>
    <n v="19857"/>
    <n v="2"/>
    <n v="39714"/>
    <s v="E-commerce"/>
  </r>
  <r>
    <x v="9"/>
    <x v="12"/>
    <s v="East"/>
    <x v="1"/>
    <x v="1"/>
    <x v="6"/>
    <n v="17190"/>
    <n v="5"/>
    <n v="85950"/>
    <s v="E-commerce"/>
  </r>
  <r>
    <x v="9"/>
    <x v="12"/>
    <s v="East"/>
    <x v="1"/>
    <x v="2"/>
    <x v="7"/>
    <n v="21664"/>
    <n v="3"/>
    <n v="64992"/>
    <s v="E-commerce"/>
  </r>
  <r>
    <x v="9"/>
    <x v="13"/>
    <s v="East"/>
    <x v="0"/>
    <x v="0"/>
    <x v="0"/>
    <n v="9600"/>
    <n v="10"/>
    <n v="96000"/>
    <s v="Retail"/>
  </r>
  <r>
    <x v="9"/>
    <x v="13"/>
    <s v="East"/>
    <x v="0"/>
    <x v="0"/>
    <x v="1"/>
    <n v="16042"/>
    <n v="20"/>
    <n v="320840"/>
    <s v="Retail"/>
  </r>
  <r>
    <x v="9"/>
    <x v="13"/>
    <s v="East"/>
    <x v="0"/>
    <x v="0"/>
    <x v="2"/>
    <n v="10338"/>
    <n v="30"/>
    <n v="310140"/>
    <s v="E-commerce"/>
  </r>
  <r>
    <x v="9"/>
    <x v="13"/>
    <s v="East"/>
    <x v="0"/>
    <x v="0"/>
    <x v="3"/>
    <n v="7946"/>
    <n v="15"/>
    <n v="119190"/>
    <s v="E-commerce"/>
  </r>
  <r>
    <x v="9"/>
    <x v="13"/>
    <s v="East"/>
    <x v="1"/>
    <x v="1"/>
    <x v="4"/>
    <n v="20164"/>
    <n v="2"/>
    <n v="40328"/>
    <s v="Wholesale"/>
  </r>
  <r>
    <x v="9"/>
    <x v="13"/>
    <s v="East"/>
    <x v="1"/>
    <x v="1"/>
    <x v="5"/>
    <n v="15834"/>
    <n v="2"/>
    <n v="31668"/>
    <s v="E-commerce"/>
  </r>
  <r>
    <x v="9"/>
    <x v="13"/>
    <s v="East"/>
    <x v="1"/>
    <x v="1"/>
    <x v="6"/>
    <n v="12227"/>
    <n v="5"/>
    <n v="61135"/>
    <s v="E-commerce"/>
  </r>
  <r>
    <x v="9"/>
    <x v="13"/>
    <s v="East"/>
    <x v="1"/>
    <x v="2"/>
    <x v="7"/>
    <n v="13517"/>
    <n v="3"/>
    <n v="40551"/>
    <s v="Wholesale"/>
  </r>
  <r>
    <x v="9"/>
    <x v="14"/>
    <s v="East"/>
    <x v="0"/>
    <x v="0"/>
    <x v="0"/>
    <n v="8313"/>
    <n v="10"/>
    <n v="83130"/>
    <s v="E-commerce"/>
  </r>
  <r>
    <x v="9"/>
    <x v="14"/>
    <s v="East"/>
    <x v="0"/>
    <x v="0"/>
    <x v="1"/>
    <n v="13122"/>
    <n v="20"/>
    <n v="262440"/>
    <s v="Wholesale"/>
  </r>
  <r>
    <x v="9"/>
    <x v="14"/>
    <s v="East"/>
    <x v="0"/>
    <x v="0"/>
    <x v="2"/>
    <n v="14523"/>
    <n v="30"/>
    <n v="435690"/>
    <s v="E-commerce"/>
  </r>
  <r>
    <x v="9"/>
    <x v="14"/>
    <s v="East"/>
    <x v="0"/>
    <x v="0"/>
    <x v="3"/>
    <n v="17426"/>
    <n v="15"/>
    <n v="261390"/>
    <s v="Retail"/>
  </r>
  <r>
    <x v="9"/>
    <x v="14"/>
    <s v="East"/>
    <x v="1"/>
    <x v="1"/>
    <x v="4"/>
    <n v="18580"/>
    <n v="2"/>
    <n v="37160"/>
    <s v="E-commerce"/>
  </r>
  <r>
    <x v="9"/>
    <x v="14"/>
    <s v="East"/>
    <x v="1"/>
    <x v="1"/>
    <x v="5"/>
    <n v="9972"/>
    <n v="2"/>
    <n v="19944"/>
    <s v="Retail"/>
  </r>
  <r>
    <x v="9"/>
    <x v="14"/>
    <s v="East"/>
    <x v="1"/>
    <x v="1"/>
    <x v="6"/>
    <n v="11764"/>
    <n v="5"/>
    <n v="58820"/>
    <s v="Retail"/>
  </r>
  <r>
    <x v="9"/>
    <x v="14"/>
    <s v="East"/>
    <x v="1"/>
    <x v="2"/>
    <x v="7"/>
    <n v="14142"/>
    <n v="3"/>
    <n v="42426"/>
    <s v="Wholesale"/>
  </r>
  <r>
    <x v="9"/>
    <x v="15"/>
    <s v="East"/>
    <x v="0"/>
    <x v="0"/>
    <x v="0"/>
    <n v="15210"/>
    <n v="10"/>
    <n v="152100"/>
    <s v="Wholesale"/>
  </r>
  <r>
    <x v="9"/>
    <x v="15"/>
    <s v="East"/>
    <x v="0"/>
    <x v="0"/>
    <x v="1"/>
    <n v="14080"/>
    <n v="20"/>
    <n v="281600"/>
    <s v="E-commerce"/>
  </r>
  <r>
    <x v="9"/>
    <x v="15"/>
    <s v="East"/>
    <x v="0"/>
    <x v="0"/>
    <x v="2"/>
    <n v="13674"/>
    <n v="30"/>
    <n v="410220"/>
    <s v="E-commerce"/>
  </r>
  <r>
    <x v="9"/>
    <x v="15"/>
    <s v="East"/>
    <x v="0"/>
    <x v="0"/>
    <x v="3"/>
    <n v="22291"/>
    <n v="15"/>
    <n v="334365"/>
    <s v="Wholesale"/>
  </r>
  <r>
    <x v="9"/>
    <x v="15"/>
    <s v="East"/>
    <x v="1"/>
    <x v="1"/>
    <x v="4"/>
    <n v="16187"/>
    <n v="2"/>
    <n v="32374"/>
    <s v="Retail"/>
  </r>
  <r>
    <x v="9"/>
    <x v="15"/>
    <s v="East"/>
    <x v="1"/>
    <x v="1"/>
    <x v="5"/>
    <n v="11206"/>
    <n v="2"/>
    <n v="22412"/>
    <s v="Retail"/>
  </r>
  <r>
    <x v="9"/>
    <x v="15"/>
    <s v="East"/>
    <x v="1"/>
    <x v="1"/>
    <x v="6"/>
    <n v="11940"/>
    <n v="5"/>
    <n v="59700"/>
    <s v="Retail"/>
  </r>
  <r>
    <x v="9"/>
    <x v="15"/>
    <s v="East"/>
    <x v="1"/>
    <x v="2"/>
    <x v="7"/>
    <n v="11439"/>
    <n v="3"/>
    <n v="34317"/>
    <s v="Wholesale"/>
  </r>
  <r>
    <x v="9"/>
    <x v="16"/>
    <s v="East"/>
    <x v="0"/>
    <x v="0"/>
    <x v="0"/>
    <n v="17980"/>
    <n v="10"/>
    <n v="179800"/>
    <s v="Wholesale"/>
  </r>
  <r>
    <x v="9"/>
    <x v="16"/>
    <s v="East"/>
    <x v="0"/>
    <x v="0"/>
    <x v="1"/>
    <n v="14658"/>
    <n v="20"/>
    <n v="293160"/>
    <s v="E-commerce"/>
  </r>
  <r>
    <x v="9"/>
    <x v="16"/>
    <s v="East"/>
    <x v="0"/>
    <x v="0"/>
    <x v="2"/>
    <n v="16814"/>
    <n v="30"/>
    <n v="504420"/>
    <s v="E-commerce"/>
  </r>
  <r>
    <x v="9"/>
    <x v="16"/>
    <s v="East"/>
    <x v="0"/>
    <x v="0"/>
    <x v="3"/>
    <n v="14324"/>
    <n v="15"/>
    <n v="214860"/>
    <s v="Wholesale"/>
  </r>
  <r>
    <x v="9"/>
    <x v="16"/>
    <s v="East"/>
    <x v="1"/>
    <x v="1"/>
    <x v="4"/>
    <n v="7149"/>
    <n v="2"/>
    <n v="14298"/>
    <s v="Wholesale"/>
  </r>
  <r>
    <x v="9"/>
    <x v="16"/>
    <s v="East"/>
    <x v="1"/>
    <x v="1"/>
    <x v="5"/>
    <n v="16498"/>
    <n v="2"/>
    <n v="32996"/>
    <s v="Wholesale"/>
  </r>
  <r>
    <x v="9"/>
    <x v="16"/>
    <s v="East"/>
    <x v="1"/>
    <x v="1"/>
    <x v="6"/>
    <n v="17134"/>
    <n v="5"/>
    <n v="85670"/>
    <s v="Wholesale"/>
  </r>
  <r>
    <x v="9"/>
    <x v="16"/>
    <s v="East"/>
    <x v="1"/>
    <x v="2"/>
    <x v="7"/>
    <n v="7253"/>
    <n v="3"/>
    <n v="21759"/>
    <s v="E-commerce"/>
  </r>
  <r>
    <x v="9"/>
    <x v="17"/>
    <s v="West"/>
    <x v="0"/>
    <x v="0"/>
    <x v="0"/>
    <n v="17362"/>
    <n v="10"/>
    <n v="173620"/>
    <s v="Retail"/>
  </r>
  <r>
    <x v="9"/>
    <x v="17"/>
    <s v="West"/>
    <x v="0"/>
    <x v="0"/>
    <x v="1"/>
    <n v="16504"/>
    <n v="20"/>
    <n v="330080"/>
    <s v="E-commerce"/>
  </r>
  <r>
    <x v="9"/>
    <x v="17"/>
    <s v="West"/>
    <x v="0"/>
    <x v="0"/>
    <x v="2"/>
    <n v="19552"/>
    <n v="30"/>
    <n v="586560"/>
    <s v="E-commerce"/>
  </r>
  <r>
    <x v="9"/>
    <x v="17"/>
    <s v="West"/>
    <x v="0"/>
    <x v="0"/>
    <x v="3"/>
    <n v="12179"/>
    <n v="15"/>
    <n v="182685"/>
    <s v="Wholesale"/>
  </r>
  <r>
    <x v="9"/>
    <x v="17"/>
    <s v="West"/>
    <x v="1"/>
    <x v="1"/>
    <x v="4"/>
    <n v="16187"/>
    <n v="2"/>
    <n v="32374"/>
    <s v="E-commerce"/>
  </r>
  <r>
    <x v="9"/>
    <x v="17"/>
    <s v="West"/>
    <x v="1"/>
    <x v="1"/>
    <x v="5"/>
    <n v="9221"/>
    <n v="2"/>
    <n v="18442"/>
    <s v="E-commerce"/>
  </r>
  <r>
    <x v="9"/>
    <x v="17"/>
    <s v="West"/>
    <x v="1"/>
    <x v="1"/>
    <x v="6"/>
    <n v="18558"/>
    <n v="5"/>
    <n v="92790"/>
    <s v="E-commerce"/>
  </r>
  <r>
    <x v="9"/>
    <x v="17"/>
    <s v="West"/>
    <x v="1"/>
    <x v="2"/>
    <x v="7"/>
    <n v="14854"/>
    <n v="3"/>
    <n v="44562"/>
    <s v="Retail"/>
  </r>
  <r>
    <x v="9"/>
    <x v="18"/>
    <s v="West"/>
    <x v="0"/>
    <x v="0"/>
    <x v="0"/>
    <n v="8862"/>
    <n v="10"/>
    <n v="88620"/>
    <s v="E-commerce"/>
  </r>
  <r>
    <x v="9"/>
    <x v="18"/>
    <s v="West"/>
    <x v="0"/>
    <x v="0"/>
    <x v="1"/>
    <n v="7075"/>
    <n v="20"/>
    <n v="141500"/>
    <s v="E-commerce"/>
  </r>
  <r>
    <x v="9"/>
    <x v="18"/>
    <s v="West"/>
    <x v="0"/>
    <x v="0"/>
    <x v="2"/>
    <n v="10622"/>
    <n v="30"/>
    <n v="318660"/>
    <s v="E-commerce"/>
  </r>
  <r>
    <x v="9"/>
    <x v="18"/>
    <s v="West"/>
    <x v="0"/>
    <x v="0"/>
    <x v="3"/>
    <n v="11657"/>
    <n v="15"/>
    <n v="174855"/>
    <s v="E-commerce"/>
  </r>
  <r>
    <x v="9"/>
    <x v="18"/>
    <s v="West"/>
    <x v="1"/>
    <x v="1"/>
    <x v="4"/>
    <n v="12693"/>
    <n v="2"/>
    <n v="25386"/>
    <s v="Retail"/>
  </r>
  <r>
    <x v="9"/>
    <x v="18"/>
    <s v="West"/>
    <x v="1"/>
    <x v="1"/>
    <x v="5"/>
    <n v="11821"/>
    <n v="2"/>
    <n v="23642"/>
    <s v="E-commerce"/>
  </r>
  <r>
    <x v="9"/>
    <x v="18"/>
    <s v="West"/>
    <x v="1"/>
    <x v="1"/>
    <x v="6"/>
    <n v="19787"/>
    <n v="5"/>
    <n v="98935"/>
    <s v="Wholesale"/>
  </r>
  <r>
    <x v="9"/>
    <x v="18"/>
    <s v="West"/>
    <x v="1"/>
    <x v="2"/>
    <x v="7"/>
    <n v="12930"/>
    <n v="3"/>
    <n v="38790"/>
    <s v="Wholesale"/>
  </r>
  <r>
    <x v="9"/>
    <x v="19"/>
    <s v="West"/>
    <x v="0"/>
    <x v="0"/>
    <x v="0"/>
    <n v="19593"/>
    <n v="10"/>
    <n v="195930"/>
    <s v="Retail"/>
  </r>
  <r>
    <x v="9"/>
    <x v="19"/>
    <s v="West"/>
    <x v="0"/>
    <x v="0"/>
    <x v="1"/>
    <n v="12294"/>
    <n v="20"/>
    <n v="245880"/>
    <s v="Wholesale"/>
  </r>
  <r>
    <x v="9"/>
    <x v="19"/>
    <s v="West"/>
    <x v="0"/>
    <x v="0"/>
    <x v="2"/>
    <n v="14088"/>
    <n v="30"/>
    <n v="422640"/>
    <s v="Wholesale"/>
  </r>
  <r>
    <x v="9"/>
    <x v="19"/>
    <s v="West"/>
    <x v="0"/>
    <x v="0"/>
    <x v="3"/>
    <n v="11238"/>
    <n v="15"/>
    <n v="168570"/>
    <s v="Retail"/>
  </r>
  <r>
    <x v="9"/>
    <x v="19"/>
    <s v="West"/>
    <x v="1"/>
    <x v="1"/>
    <x v="4"/>
    <n v="16036"/>
    <n v="2"/>
    <n v="32072"/>
    <s v="Retail"/>
  </r>
  <r>
    <x v="9"/>
    <x v="19"/>
    <s v="West"/>
    <x v="1"/>
    <x v="1"/>
    <x v="5"/>
    <n v="15105"/>
    <n v="2"/>
    <n v="30210"/>
    <s v="E-commerce"/>
  </r>
  <r>
    <x v="9"/>
    <x v="19"/>
    <s v="West"/>
    <x v="1"/>
    <x v="1"/>
    <x v="6"/>
    <n v="10076"/>
    <n v="5"/>
    <n v="50380"/>
    <s v="Wholesale"/>
  </r>
  <r>
    <x v="9"/>
    <x v="19"/>
    <s v="West"/>
    <x v="1"/>
    <x v="2"/>
    <x v="7"/>
    <n v="10343"/>
    <n v="3"/>
    <n v="31029"/>
    <s v="Wholesale"/>
  </r>
  <r>
    <x v="9"/>
    <x v="20"/>
    <s v="West"/>
    <x v="0"/>
    <x v="0"/>
    <x v="0"/>
    <n v="22659"/>
    <n v="10"/>
    <n v="226590"/>
    <s v="Wholesale"/>
  </r>
  <r>
    <x v="9"/>
    <x v="20"/>
    <s v="West"/>
    <x v="0"/>
    <x v="0"/>
    <x v="1"/>
    <n v="16366"/>
    <n v="20"/>
    <n v="327320"/>
    <s v="Wholesale"/>
  </r>
  <r>
    <x v="9"/>
    <x v="20"/>
    <s v="West"/>
    <x v="0"/>
    <x v="0"/>
    <x v="2"/>
    <n v="10229"/>
    <n v="30"/>
    <n v="306870"/>
    <s v="E-commerce"/>
  </r>
  <r>
    <x v="9"/>
    <x v="20"/>
    <s v="West"/>
    <x v="0"/>
    <x v="0"/>
    <x v="3"/>
    <n v="16617"/>
    <n v="15"/>
    <n v="249255"/>
    <s v="Wholesale"/>
  </r>
  <r>
    <x v="9"/>
    <x v="20"/>
    <s v="West"/>
    <x v="1"/>
    <x v="1"/>
    <x v="4"/>
    <n v="12728"/>
    <n v="2"/>
    <n v="25456"/>
    <s v="Retail"/>
  </r>
  <r>
    <x v="9"/>
    <x v="20"/>
    <s v="West"/>
    <x v="1"/>
    <x v="1"/>
    <x v="5"/>
    <n v="21505"/>
    <n v="2"/>
    <n v="43010"/>
    <s v="Retail"/>
  </r>
  <r>
    <x v="9"/>
    <x v="20"/>
    <s v="West"/>
    <x v="1"/>
    <x v="1"/>
    <x v="6"/>
    <n v="9707"/>
    <n v="5"/>
    <n v="48535"/>
    <s v="Retail"/>
  </r>
  <r>
    <x v="9"/>
    <x v="20"/>
    <s v="West"/>
    <x v="1"/>
    <x v="2"/>
    <x v="7"/>
    <n v="14792"/>
    <n v="3"/>
    <n v="44376"/>
    <s v="E-commerce"/>
  </r>
  <r>
    <x v="9"/>
    <x v="21"/>
    <s v="West"/>
    <x v="0"/>
    <x v="0"/>
    <x v="0"/>
    <n v="10063"/>
    <n v="10"/>
    <n v="100630"/>
    <s v="Wholesale"/>
  </r>
  <r>
    <x v="9"/>
    <x v="21"/>
    <s v="West"/>
    <x v="0"/>
    <x v="0"/>
    <x v="1"/>
    <n v="11949"/>
    <n v="20"/>
    <n v="238980"/>
    <s v="Wholesale"/>
  </r>
  <r>
    <x v="9"/>
    <x v="21"/>
    <s v="West"/>
    <x v="0"/>
    <x v="0"/>
    <x v="2"/>
    <n v="8625"/>
    <n v="30"/>
    <n v="258750"/>
    <s v="Retail"/>
  </r>
  <r>
    <x v="9"/>
    <x v="21"/>
    <s v="West"/>
    <x v="0"/>
    <x v="0"/>
    <x v="3"/>
    <n v="13054"/>
    <n v="15"/>
    <n v="195810"/>
    <s v="Retail"/>
  </r>
  <r>
    <x v="9"/>
    <x v="21"/>
    <s v="West"/>
    <x v="1"/>
    <x v="1"/>
    <x v="4"/>
    <n v="9300"/>
    <n v="2"/>
    <n v="18600"/>
    <s v="Wholesale"/>
  </r>
  <r>
    <x v="9"/>
    <x v="21"/>
    <s v="West"/>
    <x v="1"/>
    <x v="1"/>
    <x v="5"/>
    <n v="17714"/>
    <n v="2"/>
    <n v="35428"/>
    <s v="Retail"/>
  </r>
  <r>
    <x v="9"/>
    <x v="21"/>
    <s v="West"/>
    <x v="1"/>
    <x v="1"/>
    <x v="6"/>
    <n v="12606"/>
    <n v="5"/>
    <n v="63030"/>
    <s v="E-commerce"/>
  </r>
  <r>
    <x v="9"/>
    <x v="21"/>
    <s v="West"/>
    <x v="1"/>
    <x v="2"/>
    <x v="7"/>
    <n v="9432"/>
    <n v="3"/>
    <n v="28296"/>
    <s v="Wholesale"/>
  </r>
  <r>
    <x v="10"/>
    <x v="0"/>
    <s v="North"/>
    <x v="0"/>
    <x v="0"/>
    <x v="0"/>
    <n v="10367"/>
    <n v="10"/>
    <n v="103670"/>
    <s v="Retail"/>
  </r>
  <r>
    <x v="10"/>
    <x v="0"/>
    <s v="North"/>
    <x v="0"/>
    <x v="0"/>
    <x v="1"/>
    <n v="14020"/>
    <n v="20"/>
    <n v="280400"/>
    <s v="Retail"/>
  </r>
  <r>
    <x v="10"/>
    <x v="0"/>
    <s v="North"/>
    <x v="0"/>
    <x v="0"/>
    <x v="2"/>
    <n v="10162"/>
    <n v="30"/>
    <n v="304860"/>
    <s v="E-commerce"/>
  </r>
  <r>
    <x v="10"/>
    <x v="0"/>
    <s v="North"/>
    <x v="0"/>
    <x v="0"/>
    <x v="3"/>
    <n v="18461"/>
    <n v="15"/>
    <n v="276915"/>
    <s v="E-commerce"/>
  </r>
  <r>
    <x v="10"/>
    <x v="0"/>
    <s v="North"/>
    <x v="1"/>
    <x v="1"/>
    <x v="4"/>
    <n v="8287"/>
    <n v="2"/>
    <n v="16574"/>
    <s v="Wholesale"/>
  </r>
  <r>
    <x v="10"/>
    <x v="0"/>
    <s v="North"/>
    <x v="1"/>
    <x v="1"/>
    <x v="5"/>
    <n v="15993"/>
    <n v="2"/>
    <n v="31986"/>
    <s v="E-commerce"/>
  </r>
  <r>
    <x v="10"/>
    <x v="0"/>
    <s v="North"/>
    <x v="1"/>
    <x v="1"/>
    <x v="6"/>
    <n v="14610"/>
    <n v="5"/>
    <n v="73050"/>
    <s v="Retail"/>
  </r>
  <r>
    <x v="10"/>
    <x v="0"/>
    <s v="North"/>
    <x v="1"/>
    <x v="2"/>
    <x v="7"/>
    <n v="20333"/>
    <n v="3"/>
    <n v="60999"/>
    <s v="E-commerce"/>
  </r>
  <r>
    <x v="10"/>
    <x v="1"/>
    <s v="North"/>
    <x v="0"/>
    <x v="0"/>
    <x v="0"/>
    <n v="14386"/>
    <n v="10"/>
    <n v="143860"/>
    <s v="Wholesale"/>
  </r>
  <r>
    <x v="10"/>
    <x v="1"/>
    <s v="North"/>
    <x v="0"/>
    <x v="0"/>
    <x v="1"/>
    <n v="11354"/>
    <n v="20"/>
    <n v="227080"/>
    <s v="Retail"/>
  </r>
  <r>
    <x v="10"/>
    <x v="1"/>
    <s v="North"/>
    <x v="0"/>
    <x v="0"/>
    <x v="2"/>
    <n v="16802"/>
    <n v="30"/>
    <n v="504060"/>
    <s v="Retail"/>
  </r>
  <r>
    <x v="10"/>
    <x v="1"/>
    <s v="North"/>
    <x v="0"/>
    <x v="0"/>
    <x v="3"/>
    <n v="15574"/>
    <n v="15"/>
    <n v="233610"/>
    <s v="Wholesale"/>
  </r>
  <r>
    <x v="10"/>
    <x v="1"/>
    <s v="North"/>
    <x v="1"/>
    <x v="1"/>
    <x v="4"/>
    <n v="22670"/>
    <n v="2"/>
    <n v="45340"/>
    <s v="E-commerce"/>
  </r>
  <r>
    <x v="10"/>
    <x v="1"/>
    <s v="North"/>
    <x v="1"/>
    <x v="1"/>
    <x v="5"/>
    <n v="12537"/>
    <n v="2"/>
    <n v="25074"/>
    <s v="Retail"/>
  </r>
  <r>
    <x v="10"/>
    <x v="1"/>
    <s v="North"/>
    <x v="1"/>
    <x v="1"/>
    <x v="6"/>
    <n v="10400"/>
    <n v="5"/>
    <n v="52000"/>
    <s v="Retail"/>
  </r>
  <r>
    <x v="10"/>
    <x v="1"/>
    <s v="North"/>
    <x v="1"/>
    <x v="2"/>
    <x v="7"/>
    <n v="21383"/>
    <n v="3"/>
    <n v="64149"/>
    <s v="Retail"/>
  </r>
  <r>
    <x v="10"/>
    <x v="2"/>
    <s v="North"/>
    <x v="0"/>
    <x v="0"/>
    <x v="0"/>
    <n v="7877"/>
    <n v="10"/>
    <n v="78770"/>
    <s v="Retail"/>
  </r>
  <r>
    <x v="10"/>
    <x v="2"/>
    <s v="North"/>
    <x v="0"/>
    <x v="0"/>
    <x v="1"/>
    <n v="16108"/>
    <n v="20"/>
    <n v="322160"/>
    <s v="Retail"/>
  </r>
  <r>
    <x v="10"/>
    <x v="2"/>
    <s v="North"/>
    <x v="0"/>
    <x v="0"/>
    <x v="2"/>
    <n v="8369"/>
    <n v="30"/>
    <n v="251070"/>
    <s v="Retail"/>
  </r>
  <r>
    <x v="10"/>
    <x v="2"/>
    <s v="North"/>
    <x v="0"/>
    <x v="0"/>
    <x v="3"/>
    <n v="13785"/>
    <n v="15"/>
    <n v="206775"/>
    <s v="E-commerce"/>
  </r>
  <r>
    <x v="10"/>
    <x v="2"/>
    <s v="North"/>
    <x v="1"/>
    <x v="1"/>
    <x v="4"/>
    <n v="18139"/>
    <n v="2"/>
    <n v="36278"/>
    <s v="E-commerce"/>
  </r>
  <r>
    <x v="10"/>
    <x v="2"/>
    <s v="North"/>
    <x v="1"/>
    <x v="1"/>
    <x v="5"/>
    <n v="11519"/>
    <n v="2"/>
    <n v="23038"/>
    <s v="Retail"/>
  </r>
  <r>
    <x v="10"/>
    <x v="2"/>
    <s v="North"/>
    <x v="1"/>
    <x v="1"/>
    <x v="6"/>
    <n v="7688"/>
    <n v="5"/>
    <n v="38440"/>
    <s v="Retail"/>
  </r>
  <r>
    <x v="10"/>
    <x v="2"/>
    <s v="North"/>
    <x v="1"/>
    <x v="2"/>
    <x v="7"/>
    <n v="14030"/>
    <n v="3"/>
    <n v="42090"/>
    <s v="Retail"/>
  </r>
  <r>
    <x v="10"/>
    <x v="3"/>
    <s v="North"/>
    <x v="0"/>
    <x v="0"/>
    <x v="0"/>
    <n v="8137"/>
    <n v="10"/>
    <n v="81370"/>
    <s v="Retail"/>
  </r>
  <r>
    <x v="10"/>
    <x v="3"/>
    <s v="North"/>
    <x v="0"/>
    <x v="0"/>
    <x v="1"/>
    <n v="12664"/>
    <n v="20"/>
    <n v="253280"/>
    <s v="Wholesale"/>
  </r>
  <r>
    <x v="10"/>
    <x v="3"/>
    <s v="North"/>
    <x v="0"/>
    <x v="0"/>
    <x v="2"/>
    <n v="16929"/>
    <n v="30"/>
    <n v="507870"/>
    <s v="E-commerce"/>
  </r>
  <r>
    <x v="10"/>
    <x v="3"/>
    <s v="North"/>
    <x v="0"/>
    <x v="0"/>
    <x v="3"/>
    <n v="7791"/>
    <n v="15"/>
    <n v="116865"/>
    <s v="E-commerce"/>
  </r>
  <r>
    <x v="10"/>
    <x v="3"/>
    <s v="North"/>
    <x v="1"/>
    <x v="1"/>
    <x v="4"/>
    <n v="20743"/>
    <n v="2"/>
    <n v="41486"/>
    <s v="Retail"/>
  </r>
  <r>
    <x v="10"/>
    <x v="3"/>
    <s v="North"/>
    <x v="1"/>
    <x v="1"/>
    <x v="5"/>
    <n v="12955"/>
    <n v="2"/>
    <n v="25910"/>
    <s v="Retail"/>
  </r>
  <r>
    <x v="10"/>
    <x v="3"/>
    <s v="North"/>
    <x v="1"/>
    <x v="1"/>
    <x v="6"/>
    <n v="10816"/>
    <n v="5"/>
    <n v="54080"/>
    <s v="Wholesale"/>
  </r>
  <r>
    <x v="10"/>
    <x v="3"/>
    <s v="North"/>
    <x v="1"/>
    <x v="2"/>
    <x v="7"/>
    <n v="9658"/>
    <n v="3"/>
    <n v="28974"/>
    <s v="E-commerce"/>
  </r>
  <r>
    <x v="10"/>
    <x v="4"/>
    <s v="North"/>
    <x v="0"/>
    <x v="0"/>
    <x v="0"/>
    <n v="19464"/>
    <n v="10"/>
    <n v="194640"/>
    <s v="E-commerce"/>
  </r>
  <r>
    <x v="10"/>
    <x v="4"/>
    <s v="North"/>
    <x v="0"/>
    <x v="0"/>
    <x v="1"/>
    <n v="9615"/>
    <n v="20"/>
    <n v="192300"/>
    <s v="Wholesale"/>
  </r>
  <r>
    <x v="10"/>
    <x v="4"/>
    <s v="North"/>
    <x v="0"/>
    <x v="0"/>
    <x v="2"/>
    <n v="12560"/>
    <n v="30"/>
    <n v="376800"/>
    <s v="Wholesale"/>
  </r>
  <r>
    <x v="10"/>
    <x v="4"/>
    <s v="North"/>
    <x v="0"/>
    <x v="0"/>
    <x v="3"/>
    <n v="17716"/>
    <n v="15"/>
    <n v="265740"/>
    <s v="E-commerce"/>
  </r>
  <r>
    <x v="10"/>
    <x v="4"/>
    <s v="North"/>
    <x v="1"/>
    <x v="1"/>
    <x v="4"/>
    <n v="8400"/>
    <n v="2"/>
    <n v="16800"/>
    <s v="Wholesale"/>
  </r>
  <r>
    <x v="10"/>
    <x v="4"/>
    <s v="North"/>
    <x v="1"/>
    <x v="1"/>
    <x v="5"/>
    <n v="20253"/>
    <n v="2"/>
    <n v="40506"/>
    <s v="Retail"/>
  </r>
  <r>
    <x v="10"/>
    <x v="4"/>
    <s v="North"/>
    <x v="1"/>
    <x v="1"/>
    <x v="6"/>
    <n v="14855"/>
    <n v="5"/>
    <n v="74275"/>
    <s v="Retail"/>
  </r>
  <r>
    <x v="10"/>
    <x v="4"/>
    <s v="North"/>
    <x v="1"/>
    <x v="2"/>
    <x v="7"/>
    <n v="19485"/>
    <n v="3"/>
    <n v="58455"/>
    <s v="Retail"/>
  </r>
  <r>
    <x v="10"/>
    <x v="5"/>
    <s v="North"/>
    <x v="0"/>
    <x v="0"/>
    <x v="0"/>
    <n v="20407"/>
    <n v="10"/>
    <n v="204070"/>
    <s v="Wholesale"/>
  </r>
  <r>
    <x v="10"/>
    <x v="5"/>
    <s v="North"/>
    <x v="0"/>
    <x v="0"/>
    <x v="1"/>
    <n v="8367"/>
    <n v="20"/>
    <n v="167340"/>
    <s v="Wholesale"/>
  </r>
  <r>
    <x v="10"/>
    <x v="5"/>
    <s v="North"/>
    <x v="0"/>
    <x v="0"/>
    <x v="2"/>
    <n v="7578"/>
    <n v="30"/>
    <n v="227340"/>
    <s v="Retail"/>
  </r>
  <r>
    <x v="10"/>
    <x v="5"/>
    <s v="North"/>
    <x v="0"/>
    <x v="0"/>
    <x v="3"/>
    <n v="16468"/>
    <n v="15"/>
    <n v="247020"/>
    <s v="E-commerce"/>
  </r>
  <r>
    <x v="10"/>
    <x v="5"/>
    <s v="North"/>
    <x v="1"/>
    <x v="1"/>
    <x v="4"/>
    <n v="10312"/>
    <n v="2"/>
    <n v="20624"/>
    <s v="Retail"/>
  </r>
  <r>
    <x v="10"/>
    <x v="5"/>
    <s v="North"/>
    <x v="1"/>
    <x v="1"/>
    <x v="5"/>
    <n v="17826"/>
    <n v="2"/>
    <n v="35652"/>
    <s v="E-commerce"/>
  </r>
  <r>
    <x v="10"/>
    <x v="5"/>
    <s v="North"/>
    <x v="1"/>
    <x v="1"/>
    <x v="6"/>
    <n v="12735"/>
    <n v="5"/>
    <n v="63675"/>
    <s v="Retail"/>
  </r>
  <r>
    <x v="10"/>
    <x v="5"/>
    <s v="North"/>
    <x v="1"/>
    <x v="2"/>
    <x v="7"/>
    <n v="13582"/>
    <n v="3"/>
    <n v="40746"/>
    <s v="Retail"/>
  </r>
  <r>
    <x v="10"/>
    <x v="6"/>
    <s v="North"/>
    <x v="0"/>
    <x v="0"/>
    <x v="0"/>
    <n v="10333"/>
    <n v="10"/>
    <n v="103330"/>
    <s v="E-commerce"/>
  </r>
  <r>
    <x v="10"/>
    <x v="6"/>
    <s v="North"/>
    <x v="0"/>
    <x v="0"/>
    <x v="1"/>
    <n v="12806"/>
    <n v="20"/>
    <n v="256120"/>
    <s v="Retail"/>
  </r>
  <r>
    <x v="10"/>
    <x v="6"/>
    <s v="North"/>
    <x v="0"/>
    <x v="0"/>
    <x v="2"/>
    <n v="8682"/>
    <n v="30"/>
    <n v="260460"/>
    <s v="E-commerce"/>
  </r>
  <r>
    <x v="10"/>
    <x v="6"/>
    <s v="North"/>
    <x v="0"/>
    <x v="0"/>
    <x v="3"/>
    <n v="16788"/>
    <n v="15"/>
    <n v="251820"/>
    <s v="Wholesale"/>
  </r>
  <r>
    <x v="10"/>
    <x v="6"/>
    <s v="North"/>
    <x v="1"/>
    <x v="1"/>
    <x v="4"/>
    <n v="20441"/>
    <n v="2"/>
    <n v="40882"/>
    <s v="Retail"/>
  </r>
  <r>
    <x v="10"/>
    <x v="6"/>
    <s v="North"/>
    <x v="1"/>
    <x v="1"/>
    <x v="5"/>
    <n v="16003"/>
    <n v="2"/>
    <n v="32006"/>
    <s v="E-commerce"/>
  </r>
  <r>
    <x v="10"/>
    <x v="6"/>
    <s v="North"/>
    <x v="1"/>
    <x v="1"/>
    <x v="6"/>
    <n v="14856"/>
    <n v="5"/>
    <n v="74280"/>
    <s v="Wholesale"/>
  </r>
  <r>
    <x v="10"/>
    <x v="6"/>
    <s v="North"/>
    <x v="1"/>
    <x v="2"/>
    <x v="7"/>
    <n v="20533"/>
    <n v="3"/>
    <n v="61599"/>
    <s v="Retail"/>
  </r>
  <r>
    <x v="10"/>
    <x v="7"/>
    <s v="South"/>
    <x v="0"/>
    <x v="0"/>
    <x v="0"/>
    <n v="19464"/>
    <n v="10"/>
    <n v="194640"/>
    <s v="E-commerce"/>
  </r>
  <r>
    <x v="10"/>
    <x v="7"/>
    <s v="South"/>
    <x v="0"/>
    <x v="0"/>
    <x v="1"/>
    <n v="10913"/>
    <n v="20"/>
    <n v="218260"/>
    <s v="Wholesale"/>
  </r>
  <r>
    <x v="10"/>
    <x v="7"/>
    <s v="South"/>
    <x v="0"/>
    <x v="0"/>
    <x v="2"/>
    <n v="11360"/>
    <n v="30"/>
    <n v="340800"/>
    <s v="E-commerce"/>
  </r>
  <r>
    <x v="10"/>
    <x v="7"/>
    <s v="South"/>
    <x v="0"/>
    <x v="0"/>
    <x v="3"/>
    <n v="18604"/>
    <n v="15"/>
    <n v="279060"/>
    <s v="Wholesale"/>
  </r>
  <r>
    <x v="10"/>
    <x v="7"/>
    <s v="South"/>
    <x v="1"/>
    <x v="1"/>
    <x v="4"/>
    <n v="18377"/>
    <n v="2"/>
    <n v="36754"/>
    <s v="Retail"/>
  </r>
  <r>
    <x v="10"/>
    <x v="7"/>
    <s v="South"/>
    <x v="1"/>
    <x v="1"/>
    <x v="5"/>
    <n v="13944"/>
    <n v="2"/>
    <n v="27888"/>
    <s v="E-commerce"/>
  </r>
  <r>
    <x v="10"/>
    <x v="7"/>
    <s v="South"/>
    <x v="1"/>
    <x v="1"/>
    <x v="6"/>
    <n v="18984"/>
    <n v="5"/>
    <n v="94920"/>
    <s v="Retail"/>
  </r>
  <r>
    <x v="10"/>
    <x v="7"/>
    <s v="South"/>
    <x v="1"/>
    <x v="2"/>
    <x v="7"/>
    <n v="9951"/>
    <n v="3"/>
    <n v="29853"/>
    <s v="E-commerce"/>
  </r>
  <r>
    <x v="10"/>
    <x v="8"/>
    <s v="South"/>
    <x v="0"/>
    <x v="0"/>
    <x v="0"/>
    <n v="18036"/>
    <n v="10"/>
    <n v="180360"/>
    <s v="E-commerce"/>
  </r>
  <r>
    <x v="10"/>
    <x v="8"/>
    <s v="South"/>
    <x v="0"/>
    <x v="0"/>
    <x v="1"/>
    <n v="8116"/>
    <n v="20"/>
    <n v="162320"/>
    <s v="E-commerce"/>
  </r>
  <r>
    <x v="10"/>
    <x v="8"/>
    <s v="South"/>
    <x v="0"/>
    <x v="0"/>
    <x v="2"/>
    <n v="15742"/>
    <n v="30"/>
    <n v="472260"/>
    <s v="Wholesale"/>
  </r>
  <r>
    <x v="10"/>
    <x v="8"/>
    <s v="South"/>
    <x v="0"/>
    <x v="0"/>
    <x v="3"/>
    <n v="8277"/>
    <n v="15"/>
    <n v="124155"/>
    <s v="Retail"/>
  </r>
  <r>
    <x v="10"/>
    <x v="8"/>
    <s v="South"/>
    <x v="1"/>
    <x v="1"/>
    <x v="4"/>
    <n v="13231"/>
    <n v="2"/>
    <n v="26462"/>
    <s v="E-commerce"/>
  </r>
  <r>
    <x v="10"/>
    <x v="8"/>
    <s v="South"/>
    <x v="1"/>
    <x v="1"/>
    <x v="5"/>
    <n v="12679"/>
    <n v="2"/>
    <n v="25358"/>
    <s v="Wholesale"/>
  </r>
  <r>
    <x v="10"/>
    <x v="8"/>
    <s v="South"/>
    <x v="1"/>
    <x v="1"/>
    <x v="6"/>
    <n v="8733"/>
    <n v="5"/>
    <n v="43665"/>
    <s v="Retail"/>
  </r>
  <r>
    <x v="10"/>
    <x v="8"/>
    <s v="South"/>
    <x v="1"/>
    <x v="2"/>
    <x v="7"/>
    <n v="11650"/>
    <n v="3"/>
    <n v="34950"/>
    <s v="Retail"/>
  </r>
  <r>
    <x v="10"/>
    <x v="9"/>
    <s v="South"/>
    <x v="0"/>
    <x v="0"/>
    <x v="0"/>
    <n v="17104"/>
    <n v="10"/>
    <n v="171040"/>
    <s v="Retail"/>
  </r>
  <r>
    <x v="10"/>
    <x v="9"/>
    <s v="South"/>
    <x v="0"/>
    <x v="0"/>
    <x v="1"/>
    <n v="10511"/>
    <n v="20"/>
    <n v="210220"/>
    <s v="Wholesale"/>
  </r>
  <r>
    <x v="10"/>
    <x v="9"/>
    <s v="South"/>
    <x v="0"/>
    <x v="0"/>
    <x v="2"/>
    <n v="20935"/>
    <n v="30"/>
    <n v="628050"/>
    <s v="E-commerce"/>
  </r>
  <r>
    <x v="10"/>
    <x v="9"/>
    <s v="South"/>
    <x v="0"/>
    <x v="0"/>
    <x v="3"/>
    <n v="8749"/>
    <n v="15"/>
    <n v="131235"/>
    <s v="Wholesale"/>
  </r>
  <r>
    <x v="10"/>
    <x v="9"/>
    <s v="South"/>
    <x v="1"/>
    <x v="1"/>
    <x v="4"/>
    <n v="14063"/>
    <n v="2"/>
    <n v="28126"/>
    <s v="E-commerce"/>
  </r>
  <r>
    <x v="10"/>
    <x v="9"/>
    <s v="South"/>
    <x v="1"/>
    <x v="1"/>
    <x v="5"/>
    <n v="13643"/>
    <n v="2"/>
    <n v="27286"/>
    <s v="Wholesale"/>
  </r>
  <r>
    <x v="10"/>
    <x v="9"/>
    <s v="South"/>
    <x v="1"/>
    <x v="1"/>
    <x v="6"/>
    <n v="10970"/>
    <n v="5"/>
    <n v="54850"/>
    <s v="Retail"/>
  </r>
  <r>
    <x v="10"/>
    <x v="9"/>
    <s v="South"/>
    <x v="1"/>
    <x v="2"/>
    <x v="7"/>
    <n v="8303"/>
    <n v="3"/>
    <n v="24909"/>
    <s v="Retail"/>
  </r>
  <r>
    <x v="10"/>
    <x v="10"/>
    <s v="South"/>
    <x v="0"/>
    <x v="0"/>
    <x v="0"/>
    <n v="9172"/>
    <n v="10"/>
    <n v="91720"/>
    <s v="Wholesale"/>
  </r>
  <r>
    <x v="10"/>
    <x v="10"/>
    <s v="South"/>
    <x v="0"/>
    <x v="0"/>
    <x v="1"/>
    <n v="12064"/>
    <n v="20"/>
    <n v="241280"/>
    <s v="E-commerce"/>
  </r>
  <r>
    <x v="10"/>
    <x v="10"/>
    <s v="South"/>
    <x v="0"/>
    <x v="0"/>
    <x v="2"/>
    <n v="19358"/>
    <n v="30"/>
    <n v="580740"/>
    <s v="Retail"/>
  </r>
  <r>
    <x v="10"/>
    <x v="10"/>
    <s v="South"/>
    <x v="0"/>
    <x v="0"/>
    <x v="3"/>
    <n v="14952"/>
    <n v="15"/>
    <n v="224280"/>
    <s v="Retail"/>
  </r>
  <r>
    <x v="10"/>
    <x v="10"/>
    <s v="South"/>
    <x v="1"/>
    <x v="1"/>
    <x v="4"/>
    <n v="12493"/>
    <n v="2"/>
    <n v="24986"/>
    <s v="Retail"/>
  </r>
  <r>
    <x v="10"/>
    <x v="10"/>
    <s v="South"/>
    <x v="1"/>
    <x v="1"/>
    <x v="5"/>
    <n v="16250"/>
    <n v="2"/>
    <n v="32500"/>
    <s v="E-commerce"/>
  </r>
  <r>
    <x v="10"/>
    <x v="10"/>
    <s v="South"/>
    <x v="1"/>
    <x v="1"/>
    <x v="6"/>
    <n v="8538"/>
    <n v="5"/>
    <n v="42690"/>
    <s v="Retail"/>
  </r>
  <r>
    <x v="10"/>
    <x v="10"/>
    <s v="South"/>
    <x v="1"/>
    <x v="2"/>
    <x v="7"/>
    <n v="12963"/>
    <n v="3"/>
    <n v="38889"/>
    <s v="E-commerce"/>
  </r>
  <r>
    <x v="10"/>
    <x v="11"/>
    <s v="South"/>
    <x v="0"/>
    <x v="0"/>
    <x v="0"/>
    <n v="11116"/>
    <n v="10"/>
    <n v="111160"/>
    <s v="E-commerce"/>
  </r>
  <r>
    <x v="10"/>
    <x v="11"/>
    <s v="South"/>
    <x v="0"/>
    <x v="0"/>
    <x v="1"/>
    <n v="18867"/>
    <n v="20"/>
    <n v="377340"/>
    <s v="Wholesale"/>
  </r>
  <r>
    <x v="10"/>
    <x v="11"/>
    <s v="South"/>
    <x v="0"/>
    <x v="0"/>
    <x v="2"/>
    <n v="16499"/>
    <n v="30"/>
    <n v="494970"/>
    <s v="E-commerce"/>
  </r>
  <r>
    <x v="10"/>
    <x v="11"/>
    <s v="South"/>
    <x v="0"/>
    <x v="0"/>
    <x v="3"/>
    <n v="18647"/>
    <n v="15"/>
    <n v="279705"/>
    <s v="Wholesale"/>
  </r>
  <r>
    <x v="10"/>
    <x v="11"/>
    <s v="South"/>
    <x v="1"/>
    <x v="1"/>
    <x v="4"/>
    <n v="19906"/>
    <n v="2"/>
    <n v="39812"/>
    <s v="E-commerce"/>
  </r>
  <r>
    <x v="10"/>
    <x v="11"/>
    <s v="South"/>
    <x v="1"/>
    <x v="1"/>
    <x v="5"/>
    <n v="15024"/>
    <n v="2"/>
    <n v="30048"/>
    <s v="E-commerce"/>
  </r>
  <r>
    <x v="10"/>
    <x v="11"/>
    <s v="South"/>
    <x v="1"/>
    <x v="1"/>
    <x v="6"/>
    <n v="7799"/>
    <n v="5"/>
    <n v="38995"/>
    <s v="E-commerce"/>
  </r>
  <r>
    <x v="10"/>
    <x v="11"/>
    <s v="South"/>
    <x v="1"/>
    <x v="2"/>
    <x v="7"/>
    <n v="20428"/>
    <n v="3"/>
    <n v="61284"/>
    <s v="Retail"/>
  </r>
  <r>
    <x v="10"/>
    <x v="12"/>
    <s v="East"/>
    <x v="0"/>
    <x v="0"/>
    <x v="0"/>
    <n v="17796"/>
    <n v="10"/>
    <n v="177960"/>
    <s v="Wholesale"/>
  </r>
  <r>
    <x v="10"/>
    <x v="12"/>
    <s v="East"/>
    <x v="0"/>
    <x v="0"/>
    <x v="1"/>
    <n v="15746"/>
    <n v="20"/>
    <n v="314920"/>
    <s v="Retail"/>
  </r>
  <r>
    <x v="10"/>
    <x v="12"/>
    <s v="East"/>
    <x v="0"/>
    <x v="0"/>
    <x v="2"/>
    <n v="15727"/>
    <n v="30"/>
    <n v="471810"/>
    <s v="Wholesale"/>
  </r>
  <r>
    <x v="10"/>
    <x v="12"/>
    <s v="East"/>
    <x v="0"/>
    <x v="0"/>
    <x v="3"/>
    <n v="20775"/>
    <n v="15"/>
    <n v="311625"/>
    <s v="E-commerce"/>
  </r>
  <r>
    <x v="10"/>
    <x v="12"/>
    <s v="East"/>
    <x v="1"/>
    <x v="1"/>
    <x v="4"/>
    <n v="11547"/>
    <n v="2"/>
    <n v="23094"/>
    <s v="E-commerce"/>
  </r>
  <r>
    <x v="10"/>
    <x v="12"/>
    <s v="East"/>
    <x v="1"/>
    <x v="1"/>
    <x v="5"/>
    <n v="8720"/>
    <n v="2"/>
    <n v="17440"/>
    <s v="Wholesale"/>
  </r>
  <r>
    <x v="10"/>
    <x v="12"/>
    <s v="East"/>
    <x v="1"/>
    <x v="1"/>
    <x v="6"/>
    <n v="7899"/>
    <n v="5"/>
    <n v="39495"/>
    <s v="Wholesale"/>
  </r>
  <r>
    <x v="10"/>
    <x v="12"/>
    <s v="East"/>
    <x v="1"/>
    <x v="2"/>
    <x v="7"/>
    <n v="7532"/>
    <n v="3"/>
    <n v="22596"/>
    <s v="Retail"/>
  </r>
  <r>
    <x v="10"/>
    <x v="13"/>
    <s v="East"/>
    <x v="0"/>
    <x v="0"/>
    <x v="0"/>
    <n v="15808"/>
    <n v="10"/>
    <n v="158080"/>
    <s v="Wholesale"/>
  </r>
  <r>
    <x v="10"/>
    <x v="13"/>
    <s v="East"/>
    <x v="0"/>
    <x v="0"/>
    <x v="1"/>
    <n v="19395"/>
    <n v="20"/>
    <n v="387900"/>
    <s v="Retail"/>
  </r>
  <r>
    <x v="10"/>
    <x v="13"/>
    <s v="East"/>
    <x v="0"/>
    <x v="0"/>
    <x v="2"/>
    <n v="16294"/>
    <n v="30"/>
    <n v="488820"/>
    <s v="Retail"/>
  </r>
  <r>
    <x v="10"/>
    <x v="13"/>
    <s v="East"/>
    <x v="0"/>
    <x v="0"/>
    <x v="3"/>
    <n v="20679"/>
    <n v="15"/>
    <n v="310185"/>
    <s v="Retail"/>
  </r>
  <r>
    <x v="10"/>
    <x v="13"/>
    <s v="East"/>
    <x v="1"/>
    <x v="1"/>
    <x v="4"/>
    <n v="11530"/>
    <n v="2"/>
    <n v="23060"/>
    <s v="Wholesale"/>
  </r>
  <r>
    <x v="10"/>
    <x v="13"/>
    <s v="East"/>
    <x v="1"/>
    <x v="1"/>
    <x v="5"/>
    <n v="14715"/>
    <n v="2"/>
    <n v="29430"/>
    <s v="E-commerce"/>
  </r>
  <r>
    <x v="10"/>
    <x v="13"/>
    <s v="East"/>
    <x v="1"/>
    <x v="1"/>
    <x v="6"/>
    <n v="7155"/>
    <n v="5"/>
    <n v="35775"/>
    <s v="Retail"/>
  </r>
  <r>
    <x v="10"/>
    <x v="13"/>
    <s v="East"/>
    <x v="1"/>
    <x v="2"/>
    <x v="7"/>
    <n v="19594"/>
    <n v="3"/>
    <n v="58782"/>
    <s v="Retail"/>
  </r>
  <r>
    <x v="10"/>
    <x v="14"/>
    <s v="East"/>
    <x v="0"/>
    <x v="0"/>
    <x v="0"/>
    <n v="11300"/>
    <n v="10"/>
    <n v="113000"/>
    <s v="Retail"/>
  </r>
  <r>
    <x v="10"/>
    <x v="14"/>
    <s v="East"/>
    <x v="0"/>
    <x v="0"/>
    <x v="1"/>
    <n v="14734"/>
    <n v="20"/>
    <n v="294680"/>
    <s v="Wholesale"/>
  </r>
  <r>
    <x v="10"/>
    <x v="14"/>
    <s v="East"/>
    <x v="0"/>
    <x v="0"/>
    <x v="2"/>
    <n v="17573"/>
    <n v="30"/>
    <n v="527190"/>
    <s v="Wholesale"/>
  </r>
  <r>
    <x v="10"/>
    <x v="14"/>
    <s v="East"/>
    <x v="0"/>
    <x v="0"/>
    <x v="3"/>
    <n v="16035"/>
    <n v="15"/>
    <n v="240525"/>
    <s v="Wholesale"/>
  </r>
  <r>
    <x v="10"/>
    <x v="14"/>
    <s v="East"/>
    <x v="1"/>
    <x v="1"/>
    <x v="4"/>
    <n v="19848"/>
    <n v="2"/>
    <n v="39696"/>
    <s v="Retail"/>
  </r>
  <r>
    <x v="10"/>
    <x v="14"/>
    <s v="East"/>
    <x v="1"/>
    <x v="1"/>
    <x v="5"/>
    <n v="10843"/>
    <n v="2"/>
    <n v="21686"/>
    <s v="Wholesale"/>
  </r>
  <r>
    <x v="10"/>
    <x v="14"/>
    <s v="East"/>
    <x v="1"/>
    <x v="1"/>
    <x v="6"/>
    <n v="10722"/>
    <n v="5"/>
    <n v="53610"/>
    <s v="Wholesale"/>
  </r>
  <r>
    <x v="10"/>
    <x v="14"/>
    <s v="East"/>
    <x v="1"/>
    <x v="2"/>
    <x v="7"/>
    <n v="13956"/>
    <n v="3"/>
    <n v="41868"/>
    <s v="Wholesale"/>
  </r>
  <r>
    <x v="10"/>
    <x v="15"/>
    <s v="East"/>
    <x v="0"/>
    <x v="0"/>
    <x v="0"/>
    <n v="15077"/>
    <n v="10"/>
    <n v="150770"/>
    <s v="Wholesale"/>
  </r>
  <r>
    <x v="10"/>
    <x v="15"/>
    <s v="East"/>
    <x v="0"/>
    <x v="0"/>
    <x v="1"/>
    <n v="19952"/>
    <n v="20"/>
    <n v="399040"/>
    <s v="E-commerce"/>
  </r>
  <r>
    <x v="10"/>
    <x v="15"/>
    <s v="East"/>
    <x v="0"/>
    <x v="0"/>
    <x v="2"/>
    <n v="12346"/>
    <n v="30"/>
    <n v="370380"/>
    <s v="Retail"/>
  </r>
  <r>
    <x v="10"/>
    <x v="15"/>
    <s v="East"/>
    <x v="0"/>
    <x v="0"/>
    <x v="3"/>
    <n v="20257"/>
    <n v="15"/>
    <n v="303855"/>
    <s v="Wholesale"/>
  </r>
  <r>
    <x v="10"/>
    <x v="15"/>
    <s v="East"/>
    <x v="1"/>
    <x v="1"/>
    <x v="4"/>
    <n v="8684"/>
    <n v="2"/>
    <n v="17368"/>
    <s v="Wholesale"/>
  </r>
  <r>
    <x v="10"/>
    <x v="15"/>
    <s v="East"/>
    <x v="1"/>
    <x v="1"/>
    <x v="5"/>
    <n v="8123"/>
    <n v="2"/>
    <n v="16246"/>
    <s v="Retail"/>
  </r>
  <r>
    <x v="10"/>
    <x v="15"/>
    <s v="East"/>
    <x v="1"/>
    <x v="1"/>
    <x v="6"/>
    <n v="13628"/>
    <n v="5"/>
    <n v="68140"/>
    <s v="Retail"/>
  </r>
  <r>
    <x v="10"/>
    <x v="15"/>
    <s v="East"/>
    <x v="1"/>
    <x v="2"/>
    <x v="7"/>
    <n v="21151"/>
    <n v="3"/>
    <n v="63453"/>
    <s v="Wholesale"/>
  </r>
  <r>
    <x v="10"/>
    <x v="16"/>
    <s v="East"/>
    <x v="0"/>
    <x v="0"/>
    <x v="0"/>
    <n v="10864"/>
    <n v="10"/>
    <n v="108640"/>
    <s v="Wholesale"/>
  </r>
  <r>
    <x v="10"/>
    <x v="16"/>
    <s v="East"/>
    <x v="0"/>
    <x v="0"/>
    <x v="1"/>
    <n v="11531"/>
    <n v="20"/>
    <n v="230620"/>
    <s v="E-commerce"/>
  </r>
  <r>
    <x v="10"/>
    <x v="16"/>
    <s v="East"/>
    <x v="0"/>
    <x v="0"/>
    <x v="2"/>
    <n v="12529"/>
    <n v="30"/>
    <n v="375870"/>
    <s v="E-commerce"/>
  </r>
  <r>
    <x v="10"/>
    <x v="16"/>
    <s v="East"/>
    <x v="0"/>
    <x v="0"/>
    <x v="3"/>
    <n v="12980"/>
    <n v="15"/>
    <n v="194700"/>
    <s v="Wholesale"/>
  </r>
  <r>
    <x v="10"/>
    <x v="16"/>
    <s v="East"/>
    <x v="1"/>
    <x v="1"/>
    <x v="4"/>
    <n v="15053"/>
    <n v="2"/>
    <n v="30106"/>
    <s v="Retail"/>
  </r>
  <r>
    <x v="10"/>
    <x v="16"/>
    <s v="East"/>
    <x v="1"/>
    <x v="1"/>
    <x v="5"/>
    <n v="14342"/>
    <n v="2"/>
    <n v="28684"/>
    <s v="E-commerce"/>
  </r>
  <r>
    <x v="10"/>
    <x v="16"/>
    <s v="East"/>
    <x v="1"/>
    <x v="1"/>
    <x v="6"/>
    <n v="18825"/>
    <n v="5"/>
    <n v="94125"/>
    <s v="Retail"/>
  </r>
  <r>
    <x v="10"/>
    <x v="16"/>
    <s v="East"/>
    <x v="1"/>
    <x v="2"/>
    <x v="7"/>
    <n v="22989"/>
    <n v="3"/>
    <n v="68967"/>
    <s v="Retail"/>
  </r>
  <r>
    <x v="10"/>
    <x v="17"/>
    <s v="West"/>
    <x v="0"/>
    <x v="0"/>
    <x v="0"/>
    <n v="16035"/>
    <n v="10"/>
    <n v="160350"/>
    <s v="Wholesale"/>
  </r>
  <r>
    <x v="10"/>
    <x v="17"/>
    <s v="West"/>
    <x v="0"/>
    <x v="0"/>
    <x v="1"/>
    <n v="16836"/>
    <n v="20"/>
    <n v="336720"/>
    <s v="E-commerce"/>
  </r>
  <r>
    <x v="10"/>
    <x v="17"/>
    <s v="West"/>
    <x v="0"/>
    <x v="0"/>
    <x v="2"/>
    <n v="8658"/>
    <n v="30"/>
    <n v="259740"/>
    <s v="Wholesale"/>
  </r>
  <r>
    <x v="10"/>
    <x v="17"/>
    <s v="West"/>
    <x v="0"/>
    <x v="0"/>
    <x v="3"/>
    <n v="8790"/>
    <n v="15"/>
    <n v="131850"/>
    <s v="Retail"/>
  </r>
  <r>
    <x v="10"/>
    <x v="17"/>
    <s v="West"/>
    <x v="1"/>
    <x v="1"/>
    <x v="4"/>
    <n v="9421"/>
    <n v="2"/>
    <n v="18842"/>
    <s v="Retail"/>
  </r>
  <r>
    <x v="10"/>
    <x v="17"/>
    <s v="West"/>
    <x v="1"/>
    <x v="1"/>
    <x v="5"/>
    <n v="17092"/>
    <n v="2"/>
    <n v="34184"/>
    <s v="Retail"/>
  </r>
  <r>
    <x v="10"/>
    <x v="17"/>
    <s v="West"/>
    <x v="1"/>
    <x v="1"/>
    <x v="6"/>
    <n v="11047"/>
    <n v="5"/>
    <n v="55235"/>
    <s v="Wholesale"/>
  </r>
  <r>
    <x v="10"/>
    <x v="17"/>
    <s v="West"/>
    <x v="1"/>
    <x v="2"/>
    <x v="7"/>
    <n v="16682"/>
    <n v="3"/>
    <n v="50046"/>
    <s v="E-commerce"/>
  </r>
  <r>
    <x v="10"/>
    <x v="18"/>
    <s v="West"/>
    <x v="0"/>
    <x v="0"/>
    <x v="0"/>
    <n v="8635"/>
    <n v="10"/>
    <n v="86350"/>
    <s v="E-commerce"/>
  </r>
  <r>
    <x v="10"/>
    <x v="18"/>
    <s v="West"/>
    <x v="0"/>
    <x v="0"/>
    <x v="1"/>
    <n v="17634"/>
    <n v="20"/>
    <n v="352680"/>
    <s v="Retail"/>
  </r>
  <r>
    <x v="10"/>
    <x v="18"/>
    <s v="West"/>
    <x v="0"/>
    <x v="0"/>
    <x v="2"/>
    <n v="10971"/>
    <n v="30"/>
    <n v="329130"/>
    <s v="Retail"/>
  </r>
  <r>
    <x v="10"/>
    <x v="18"/>
    <s v="West"/>
    <x v="0"/>
    <x v="0"/>
    <x v="3"/>
    <n v="7329"/>
    <n v="15"/>
    <n v="109935"/>
    <s v="Retail"/>
  </r>
  <r>
    <x v="10"/>
    <x v="18"/>
    <s v="West"/>
    <x v="1"/>
    <x v="1"/>
    <x v="4"/>
    <n v="13322"/>
    <n v="2"/>
    <n v="26644"/>
    <s v="Retail"/>
  </r>
  <r>
    <x v="10"/>
    <x v="18"/>
    <s v="West"/>
    <x v="1"/>
    <x v="1"/>
    <x v="5"/>
    <n v="16070"/>
    <n v="2"/>
    <n v="32140"/>
    <s v="Retail"/>
  </r>
  <r>
    <x v="10"/>
    <x v="18"/>
    <s v="West"/>
    <x v="1"/>
    <x v="1"/>
    <x v="6"/>
    <n v="8633"/>
    <n v="5"/>
    <n v="43165"/>
    <s v="Retail"/>
  </r>
  <r>
    <x v="10"/>
    <x v="18"/>
    <s v="West"/>
    <x v="1"/>
    <x v="2"/>
    <x v="7"/>
    <n v="21884"/>
    <n v="3"/>
    <n v="65652"/>
    <s v="Wholesale"/>
  </r>
  <r>
    <x v="10"/>
    <x v="19"/>
    <s v="West"/>
    <x v="0"/>
    <x v="0"/>
    <x v="0"/>
    <n v="18368"/>
    <n v="10"/>
    <n v="183680"/>
    <s v="Retail"/>
  </r>
  <r>
    <x v="10"/>
    <x v="19"/>
    <s v="West"/>
    <x v="0"/>
    <x v="0"/>
    <x v="1"/>
    <n v="13836"/>
    <n v="20"/>
    <n v="276720"/>
    <s v="Wholesale"/>
  </r>
  <r>
    <x v="10"/>
    <x v="19"/>
    <s v="West"/>
    <x v="0"/>
    <x v="0"/>
    <x v="2"/>
    <n v="10111"/>
    <n v="30"/>
    <n v="303330"/>
    <s v="Retail"/>
  </r>
  <r>
    <x v="10"/>
    <x v="19"/>
    <s v="West"/>
    <x v="0"/>
    <x v="0"/>
    <x v="3"/>
    <n v="22014"/>
    <n v="15"/>
    <n v="330210"/>
    <s v="E-commerce"/>
  </r>
  <r>
    <x v="10"/>
    <x v="19"/>
    <s v="West"/>
    <x v="1"/>
    <x v="1"/>
    <x v="4"/>
    <n v="19336"/>
    <n v="2"/>
    <n v="38672"/>
    <s v="E-commerce"/>
  </r>
  <r>
    <x v="10"/>
    <x v="19"/>
    <s v="West"/>
    <x v="1"/>
    <x v="1"/>
    <x v="5"/>
    <n v="13963"/>
    <n v="2"/>
    <n v="27926"/>
    <s v="Wholesale"/>
  </r>
  <r>
    <x v="10"/>
    <x v="19"/>
    <s v="West"/>
    <x v="1"/>
    <x v="1"/>
    <x v="6"/>
    <n v="7343"/>
    <n v="5"/>
    <n v="36715"/>
    <s v="Retail"/>
  </r>
  <r>
    <x v="10"/>
    <x v="19"/>
    <s v="West"/>
    <x v="1"/>
    <x v="2"/>
    <x v="7"/>
    <n v="20774"/>
    <n v="3"/>
    <n v="62322"/>
    <s v="E-commerce"/>
  </r>
  <r>
    <x v="10"/>
    <x v="20"/>
    <s v="West"/>
    <x v="0"/>
    <x v="0"/>
    <x v="0"/>
    <n v="17795"/>
    <n v="10"/>
    <n v="177950"/>
    <s v="Wholesale"/>
  </r>
  <r>
    <x v="10"/>
    <x v="20"/>
    <s v="West"/>
    <x v="0"/>
    <x v="0"/>
    <x v="1"/>
    <n v="14494"/>
    <n v="20"/>
    <n v="289880"/>
    <s v="E-commerce"/>
  </r>
  <r>
    <x v="10"/>
    <x v="20"/>
    <s v="West"/>
    <x v="0"/>
    <x v="0"/>
    <x v="2"/>
    <n v="17946"/>
    <n v="30"/>
    <n v="538380"/>
    <s v="Wholesale"/>
  </r>
  <r>
    <x v="10"/>
    <x v="20"/>
    <s v="West"/>
    <x v="0"/>
    <x v="0"/>
    <x v="3"/>
    <n v="13865"/>
    <n v="15"/>
    <n v="207975"/>
    <s v="Retail"/>
  </r>
  <r>
    <x v="10"/>
    <x v="20"/>
    <s v="West"/>
    <x v="1"/>
    <x v="1"/>
    <x v="4"/>
    <n v="17377"/>
    <n v="2"/>
    <n v="34754"/>
    <s v="Wholesale"/>
  </r>
  <r>
    <x v="10"/>
    <x v="20"/>
    <s v="West"/>
    <x v="1"/>
    <x v="1"/>
    <x v="5"/>
    <n v="11608"/>
    <n v="2"/>
    <n v="23216"/>
    <s v="Wholesale"/>
  </r>
  <r>
    <x v="10"/>
    <x v="20"/>
    <s v="West"/>
    <x v="1"/>
    <x v="1"/>
    <x v="6"/>
    <n v="13086"/>
    <n v="5"/>
    <n v="65430"/>
    <s v="Wholesale"/>
  </r>
  <r>
    <x v="10"/>
    <x v="20"/>
    <s v="West"/>
    <x v="1"/>
    <x v="2"/>
    <x v="7"/>
    <n v="10725"/>
    <n v="3"/>
    <n v="32175"/>
    <s v="Retail"/>
  </r>
  <r>
    <x v="10"/>
    <x v="21"/>
    <s v="West"/>
    <x v="0"/>
    <x v="0"/>
    <x v="0"/>
    <n v="17517"/>
    <n v="10"/>
    <n v="175170"/>
    <s v="E-commerce"/>
  </r>
  <r>
    <x v="10"/>
    <x v="21"/>
    <s v="West"/>
    <x v="0"/>
    <x v="0"/>
    <x v="1"/>
    <n v="14618"/>
    <n v="20"/>
    <n v="292360"/>
    <s v="Retail"/>
  </r>
  <r>
    <x v="10"/>
    <x v="21"/>
    <s v="West"/>
    <x v="0"/>
    <x v="0"/>
    <x v="2"/>
    <n v="19788"/>
    <n v="30"/>
    <n v="593640"/>
    <s v="Wholesale"/>
  </r>
  <r>
    <x v="10"/>
    <x v="21"/>
    <s v="West"/>
    <x v="0"/>
    <x v="0"/>
    <x v="3"/>
    <n v="16416"/>
    <n v="15"/>
    <n v="246240"/>
    <s v="Wholesale"/>
  </r>
  <r>
    <x v="10"/>
    <x v="21"/>
    <s v="West"/>
    <x v="1"/>
    <x v="1"/>
    <x v="4"/>
    <n v="19899"/>
    <n v="2"/>
    <n v="39798"/>
    <s v="E-commerce"/>
  </r>
  <r>
    <x v="10"/>
    <x v="21"/>
    <s v="West"/>
    <x v="1"/>
    <x v="1"/>
    <x v="5"/>
    <n v="10299"/>
    <n v="2"/>
    <n v="20598"/>
    <s v="E-commerce"/>
  </r>
  <r>
    <x v="10"/>
    <x v="21"/>
    <s v="West"/>
    <x v="1"/>
    <x v="1"/>
    <x v="6"/>
    <n v="17258"/>
    <n v="5"/>
    <n v="86290"/>
    <s v="Retail"/>
  </r>
  <r>
    <x v="10"/>
    <x v="21"/>
    <s v="West"/>
    <x v="1"/>
    <x v="2"/>
    <x v="7"/>
    <n v="12522"/>
    <n v="3"/>
    <n v="37566"/>
    <s v="E-commerce"/>
  </r>
  <r>
    <x v="11"/>
    <x v="0"/>
    <s v="North"/>
    <x v="0"/>
    <x v="0"/>
    <x v="0"/>
    <n v="16159"/>
    <n v="10"/>
    <n v="161590"/>
    <s v="Wholesale"/>
  </r>
  <r>
    <x v="11"/>
    <x v="0"/>
    <s v="North"/>
    <x v="0"/>
    <x v="0"/>
    <x v="1"/>
    <n v="10031"/>
    <n v="20"/>
    <n v="200620"/>
    <s v="Retail"/>
  </r>
  <r>
    <x v="11"/>
    <x v="0"/>
    <s v="North"/>
    <x v="0"/>
    <x v="0"/>
    <x v="2"/>
    <n v="13567"/>
    <n v="30"/>
    <n v="407010"/>
    <s v="Retail"/>
  </r>
  <r>
    <x v="11"/>
    <x v="0"/>
    <s v="North"/>
    <x v="0"/>
    <x v="0"/>
    <x v="3"/>
    <n v="10264"/>
    <n v="15"/>
    <n v="153960"/>
    <s v="Wholesale"/>
  </r>
  <r>
    <x v="11"/>
    <x v="0"/>
    <s v="North"/>
    <x v="1"/>
    <x v="1"/>
    <x v="4"/>
    <n v="8596"/>
    <n v="2"/>
    <n v="17192"/>
    <s v="Wholesale"/>
  </r>
  <r>
    <x v="11"/>
    <x v="0"/>
    <s v="North"/>
    <x v="1"/>
    <x v="1"/>
    <x v="5"/>
    <n v="12659"/>
    <n v="2"/>
    <n v="25318"/>
    <s v="E-commerce"/>
  </r>
  <r>
    <x v="11"/>
    <x v="0"/>
    <s v="North"/>
    <x v="1"/>
    <x v="1"/>
    <x v="6"/>
    <n v="14987"/>
    <n v="5"/>
    <n v="74935"/>
    <s v="Wholesale"/>
  </r>
  <r>
    <x v="11"/>
    <x v="0"/>
    <s v="North"/>
    <x v="1"/>
    <x v="2"/>
    <x v="7"/>
    <n v="9297"/>
    <n v="3"/>
    <n v="27891"/>
    <s v="Retail"/>
  </r>
  <r>
    <x v="11"/>
    <x v="1"/>
    <s v="North"/>
    <x v="0"/>
    <x v="0"/>
    <x v="0"/>
    <n v="18694"/>
    <n v="10"/>
    <n v="186940"/>
    <s v="E-commerce"/>
  </r>
  <r>
    <x v="11"/>
    <x v="1"/>
    <s v="North"/>
    <x v="0"/>
    <x v="0"/>
    <x v="1"/>
    <n v="8764"/>
    <n v="20"/>
    <n v="175280"/>
    <s v="E-commerce"/>
  </r>
  <r>
    <x v="11"/>
    <x v="1"/>
    <s v="North"/>
    <x v="0"/>
    <x v="0"/>
    <x v="2"/>
    <n v="13591"/>
    <n v="30"/>
    <n v="407730"/>
    <s v="E-commerce"/>
  </r>
  <r>
    <x v="11"/>
    <x v="1"/>
    <s v="North"/>
    <x v="0"/>
    <x v="0"/>
    <x v="3"/>
    <n v="9442"/>
    <n v="15"/>
    <n v="141630"/>
    <s v="E-commerce"/>
  </r>
  <r>
    <x v="11"/>
    <x v="1"/>
    <s v="North"/>
    <x v="1"/>
    <x v="1"/>
    <x v="4"/>
    <n v="13466"/>
    <n v="2"/>
    <n v="26932"/>
    <s v="E-commerce"/>
  </r>
  <r>
    <x v="11"/>
    <x v="1"/>
    <s v="North"/>
    <x v="1"/>
    <x v="1"/>
    <x v="5"/>
    <n v="11517"/>
    <n v="2"/>
    <n v="23034"/>
    <s v="Retail"/>
  </r>
  <r>
    <x v="11"/>
    <x v="1"/>
    <s v="North"/>
    <x v="1"/>
    <x v="1"/>
    <x v="6"/>
    <n v="21449"/>
    <n v="5"/>
    <n v="107245"/>
    <s v="E-commerce"/>
  </r>
  <r>
    <x v="11"/>
    <x v="1"/>
    <s v="North"/>
    <x v="1"/>
    <x v="2"/>
    <x v="7"/>
    <n v="7654"/>
    <n v="3"/>
    <n v="22962"/>
    <s v="Wholesale"/>
  </r>
  <r>
    <x v="11"/>
    <x v="2"/>
    <s v="North"/>
    <x v="0"/>
    <x v="0"/>
    <x v="0"/>
    <n v="11099"/>
    <n v="10"/>
    <n v="110990"/>
    <s v="Retail"/>
  </r>
  <r>
    <x v="11"/>
    <x v="2"/>
    <s v="North"/>
    <x v="0"/>
    <x v="0"/>
    <x v="1"/>
    <n v="9007"/>
    <n v="20"/>
    <n v="180140"/>
    <s v="Retail"/>
  </r>
  <r>
    <x v="11"/>
    <x v="2"/>
    <s v="North"/>
    <x v="0"/>
    <x v="0"/>
    <x v="2"/>
    <n v="19372"/>
    <n v="30"/>
    <n v="581160"/>
    <s v="Wholesale"/>
  </r>
  <r>
    <x v="11"/>
    <x v="2"/>
    <s v="North"/>
    <x v="0"/>
    <x v="0"/>
    <x v="3"/>
    <n v="20759"/>
    <n v="15"/>
    <n v="311385"/>
    <s v="E-commerce"/>
  </r>
  <r>
    <x v="11"/>
    <x v="2"/>
    <s v="North"/>
    <x v="1"/>
    <x v="1"/>
    <x v="4"/>
    <n v="17373"/>
    <n v="2"/>
    <n v="34746"/>
    <s v="E-commerce"/>
  </r>
  <r>
    <x v="11"/>
    <x v="2"/>
    <s v="North"/>
    <x v="1"/>
    <x v="1"/>
    <x v="5"/>
    <n v="21161"/>
    <n v="2"/>
    <n v="42322"/>
    <s v="Retail"/>
  </r>
  <r>
    <x v="11"/>
    <x v="2"/>
    <s v="North"/>
    <x v="1"/>
    <x v="1"/>
    <x v="6"/>
    <n v="13945"/>
    <n v="5"/>
    <n v="69725"/>
    <s v="E-commerce"/>
  </r>
  <r>
    <x v="11"/>
    <x v="2"/>
    <s v="North"/>
    <x v="1"/>
    <x v="2"/>
    <x v="7"/>
    <n v="16417"/>
    <n v="3"/>
    <n v="49251"/>
    <s v="E-commerce"/>
  </r>
  <r>
    <x v="11"/>
    <x v="3"/>
    <s v="North"/>
    <x v="0"/>
    <x v="0"/>
    <x v="0"/>
    <n v="9760"/>
    <n v="10"/>
    <n v="97600"/>
    <s v="Retail"/>
  </r>
  <r>
    <x v="11"/>
    <x v="3"/>
    <s v="North"/>
    <x v="0"/>
    <x v="0"/>
    <x v="1"/>
    <n v="14790"/>
    <n v="20"/>
    <n v="295800"/>
    <s v="Retail"/>
  </r>
  <r>
    <x v="11"/>
    <x v="3"/>
    <s v="North"/>
    <x v="0"/>
    <x v="0"/>
    <x v="2"/>
    <n v="8494"/>
    <n v="30"/>
    <n v="254820"/>
    <s v="Wholesale"/>
  </r>
  <r>
    <x v="11"/>
    <x v="3"/>
    <s v="North"/>
    <x v="0"/>
    <x v="0"/>
    <x v="3"/>
    <n v="13074"/>
    <n v="15"/>
    <n v="196110"/>
    <s v="E-commerce"/>
  </r>
  <r>
    <x v="11"/>
    <x v="3"/>
    <s v="North"/>
    <x v="1"/>
    <x v="1"/>
    <x v="4"/>
    <n v="8602"/>
    <n v="2"/>
    <n v="17204"/>
    <s v="Retail"/>
  </r>
  <r>
    <x v="11"/>
    <x v="3"/>
    <s v="North"/>
    <x v="1"/>
    <x v="1"/>
    <x v="5"/>
    <n v="11659"/>
    <n v="2"/>
    <n v="23318"/>
    <s v="Wholesale"/>
  </r>
  <r>
    <x v="11"/>
    <x v="3"/>
    <s v="North"/>
    <x v="1"/>
    <x v="1"/>
    <x v="6"/>
    <n v="14620"/>
    <n v="5"/>
    <n v="73100"/>
    <s v="Wholesale"/>
  </r>
  <r>
    <x v="11"/>
    <x v="3"/>
    <s v="North"/>
    <x v="1"/>
    <x v="2"/>
    <x v="7"/>
    <n v="23136"/>
    <n v="3"/>
    <n v="69408"/>
    <s v="Wholesale"/>
  </r>
  <r>
    <x v="11"/>
    <x v="4"/>
    <s v="North"/>
    <x v="0"/>
    <x v="0"/>
    <x v="0"/>
    <n v="9742"/>
    <n v="10"/>
    <n v="97420"/>
    <s v="Wholesale"/>
  </r>
  <r>
    <x v="11"/>
    <x v="4"/>
    <s v="North"/>
    <x v="0"/>
    <x v="0"/>
    <x v="1"/>
    <n v="17514"/>
    <n v="20"/>
    <n v="350280"/>
    <s v="Wholesale"/>
  </r>
  <r>
    <x v="11"/>
    <x v="4"/>
    <s v="North"/>
    <x v="0"/>
    <x v="0"/>
    <x v="2"/>
    <n v="9775"/>
    <n v="30"/>
    <n v="293250"/>
    <s v="Retail"/>
  </r>
  <r>
    <x v="11"/>
    <x v="4"/>
    <s v="North"/>
    <x v="0"/>
    <x v="0"/>
    <x v="3"/>
    <n v="10195"/>
    <n v="15"/>
    <n v="152925"/>
    <s v="Wholesale"/>
  </r>
  <r>
    <x v="11"/>
    <x v="4"/>
    <s v="North"/>
    <x v="1"/>
    <x v="1"/>
    <x v="4"/>
    <n v="12896"/>
    <n v="2"/>
    <n v="25792"/>
    <s v="Wholesale"/>
  </r>
  <r>
    <x v="11"/>
    <x v="4"/>
    <s v="North"/>
    <x v="1"/>
    <x v="1"/>
    <x v="5"/>
    <n v="10265"/>
    <n v="2"/>
    <n v="20530"/>
    <s v="Wholesale"/>
  </r>
  <r>
    <x v="11"/>
    <x v="4"/>
    <s v="North"/>
    <x v="1"/>
    <x v="1"/>
    <x v="6"/>
    <n v="11131"/>
    <n v="5"/>
    <n v="55655"/>
    <s v="Wholesale"/>
  </r>
  <r>
    <x v="11"/>
    <x v="4"/>
    <s v="North"/>
    <x v="1"/>
    <x v="2"/>
    <x v="7"/>
    <n v="16675"/>
    <n v="3"/>
    <n v="50025"/>
    <s v="Wholesale"/>
  </r>
  <r>
    <x v="11"/>
    <x v="5"/>
    <s v="North"/>
    <x v="0"/>
    <x v="0"/>
    <x v="0"/>
    <n v="8955"/>
    <n v="10"/>
    <n v="89550"/>
    <s v="Retail"/>
  </r>
  <r>
    <x v="11"/>
    <x v="5"/>
    <s v="North"/>
    <x v="0"/>
    <x v="0"/>
    <x v="1"/>
    <n v="11153"/>
    <n v="20"/>
    <n v="223060"/>
    <s v="E-commerce"/>
  </r>
  <r>
    <x v="11"/>
    <x v="5"/>
    <s v="North"/>
    <x v="0"/>
    <x v="0"/>
    <x v="2"/>
    <n v="20090"/>
    <n v="30"/>
    <n v="602700"/>
    <s v="Retail"/>
  </r>
  <r>
    <x v="11"/>
    <x v="5"/>
    <s v="North"/>
    <x v="0"/>
    <x v="0"/>
    <x v="3"/>
    <n v="14305"/>
    <n v="15"/>
    <n v="214575"/>
    <s v="Retail"/>
  </r>
  <r>
    <x v="11"/>
    <x v="5"/>
    <s v="North"/>
    <x v="1"/>
    <x v="1"/>
    <x v="4"/>
    <n v="14418"/>
    <n v="2"/>
    <n v="28836"/>
    <s v="Wholesale"/>
  </r>
  <r>
    <x v="11"/>
    <x v="5"/>
    <s v="North"/>
    <x v="1"/>
    <x v="1"/>
    <x v="5"/>
    <n v="11921"/>
    <n v="2"/>
    <n v="23842"/>
    <s v="Wholesale"/>
  </r>
  <r>
    <x v="11"/>
    <x v="5"/>
    <s v="North"/>
    <x v="1"/>
    <x v="1"/>
    <x v="6"/>
    <n v="18700"/>
    <n v="5"/>
    <n v="93500"/>
    <s v="Wholesale"/>
  </r>
  <r>
    <x v="11"/>
    <x v="5"/>
    <s v="North"/>
    <x v="1"/>
    <x v="2"/>
    <x v="7"/>
    <n v="9215"/>
    <n v="3"/>
    <n v="27645"/>
    <s v="Wholesale"/>
  </r>
  <r>
    <x v="11"/>
    <x v="6"/>
    <s v="North"/>
    <x v="0"/>
    <x v="0"/>
    <x v="0"/>
    <n v="8713"/>
    <n v="10"/>
    <n v="87130"/>
    <s v="Wholesale"/>
  </r>
  <r>
    <x v="11"/>
    <x v="6"/>
    <s v="North"/>
    <x v="0"/>
    <x v="0"/>
    <x v="1"/>
    <n v="8206"/>
    <n v="20"/>
    <n v="164120"/>
    <s v="Retail"/>
  </r>
  <r>
    <x v="11"/>
    <x v="6"/>
    <s v="North"/>
    <x v="0"/>
    <x v="0"/>
    <x v="2"/>
    <n v="20462"/>
    <n v="30"/>
    <n v="613860"/>
    <s v="Wholesale"/>
  </r>
  <r>
    <x v="11"/>
    <x v="6"/>
    <s v="North"/>
    <x v="0"/>
    <x v="0"/>
    <x v="3"/>
    <n v="15133"/>
    <n v="15"/>
    <n v="226995"/>
    <s v="Wholesale"/>
  </r>
  <r>
    <x v="11"/>
    <x v="6"/>
    <s v="North"/>
    <x v="1"/>
    <x v="1"/>
    <x v="4"/>
    <n v="15291"/>
    <n v="2"/>
    <n v="30582"/>
    <s v="E-commerce"/>
  </r>
  <r>
    <x v="11"/>
    <x v="6"/>
    <s v="North"/>
    <x v="1"/>
    <x v="1"/>
    <x v="5"/>
    <n v="12063"/>
    <n v="2"/>
    <n v="24126"/>
    <s v="Retail"/>
  </r>
  <r>
    <x v="11"/>
    <x v="6"/>
    <s v="North"/>
    <x v="1"/>
    <x v="1"/>
    <x v="6"/>
    <n v="13776"/>
    <n v="5"/>
    <n v="68880"/>
    <s v="E-commerce"/>
  </r>
  <r>
    <x v="11"/>
    <x v="6"/>
    <s v="North"/>
    <x v="1"/>
    <x v="2"/>
    <x v="7"/>
    <n v="12226"/>
    <n v="3"/>
    <n v="36678"/>
    <s v="Wholesale"/>
  </r>
  <r>
    <x v="11"/>
    <x v="7"/>
    <s v="South"/>
    <x v="0"/>
    <x v="0"/>
    <x v="0"/>
    <n v="19437"/>
    <n v="10"/>
    <n v="194370"/>
    <s v="Wholesale"/>
  </r>
  <r>
    <x v="11"/>
    <x v="7"/>
    <s v="South"/>
    <x v="0"/>
    <x v="0"/>
    <x v="1"/>
    <n v="19435"/>
    <n v="20"/>
    <n v="388700"/>
    <s v="Wholesale"/>
  </r>
  <r>
    <x v="11"/>
    <x v="7"/>
    <s v="South"/>
    <x v="0"/>
    <x v="0"/>
    <x v="2"/>
    <n v="9646"/>
    <n v="30"/>
    <n v="289380"/>
    <s v="Retail"/>
  </r>
  <r>
    <x v="11"/>
    <x v="7"/>
    <s v="South"/>
    <x v="0"/>
    <x v="0"/>
    <x v="3"/>
    <n v="18289"/>
    <n v="15"/>
    <n v="274335"/>
    <s v="Retail"/>
  </r>
  <r>
    <x v="11"/>
    <x v="7"/>
    <s v="South"/>
    <x v="1"/>
    <x v="1"/>
    <x v="4"/>
    <n v="15163"/>
    <n v="2"/>
    <n v="30326"/>
    <s v="E-commerce"/>
  </r>
  <r>
    <x v="11"/>
    <x v="7"/>
    <s v="South"/>
    <x v="1"/>
    <x v="1"/>
    <x v="5"/>
    <n v="12647"/>
    <n v="2"/>
    <n v="25294"/>
    <s v="Retail"/>
  </r>
  <r>
    <x v="11"/>
    <x v="7"/>
    <s v="South"/>
    <x v="1"/>
    <x v="1"/>
    <x v="6"/>
    <n v="10456"/>
    <n v="5"/>
    <n v="52280"/>
    <s v="E-commerce"/>
  </r>
  <r>
    <x v="11"/>
    <x v="7"/>
    <s v="South"/>
    <x v="1"/>
    <x v="2"/>
    <x v="7"/>
    <n v="19738"/>
    <n v="3"/>
    <n v="59214"/>
    <s v="Retail"/>
  </r>
  <r>
    <x v="11"/>
    <x v="8"/>
    <s v="South"/>
    <x v="0"/>
    <x v="0"/>
    <x v="0"/>
    <n v="7686"/>
    <n v="10"/>
    <n v="76860"/>
    <s v="Wholesale"/>
  </r>
  <r>
    <x v="11"/>
    <x v="8"/>
    <s v="South"/>
    <x v="0"/>
    <x v="0"/>
    <x v="1"/>
    <n v="17210"/>
    <n v="20"/>
    <n v="344200"/>
    <s v="Wholesale"/>
  </r>
  <r>
    <x v="11"/>
    <x v="8"/>
    <s v="South"/>
    <x v="0"/>
    <x v="0"/>
    <x v="2"/>
    <n v="8314"/>
    <n v="30"/>
    <n v="249420"/>
    <s v="Wholesale"/>
  </r>
  <r>
    <x v="11"/>
    <x v="8"/>
    <s v="South"/>
    <x v="0"/>
    <x v="0"/>
    <x v="3"/>
    <n v="15763"/>
    <n v="15"/>
    <n v="236445"/>
    <s v="Wholesale"/>
  </r>
  <r>
    <x v="11"/>
    <x v="8"/>
    <s v="South"/>
    <x v="1"/>
    <x v="1"/>
    <x v="4"/>
    <n v="7448"/>
    <n v="2"/>
    <n v="14896"/>
    <s v="E-commerce"/>
  </r>
  <r>
    <x v="11"/>
    <x v="8"/>
    <s v="South"/>
    <x v="1"/>
    <x v="1"/>
    <x v="5"/>
    <n v="20846"/>
    <n v="2"/>
    <n v="41692"/>
    <s v="E-commerce"/>
  </r>
  <r>
    <x v="11"/>
    <x v="8"/>
    <s v="South"/>
    <x v="1"/>
    <x v="1"/>
    <x v="6"/>
    <n v="13830"/>
    <n v="5"/>
    <n v="69150"/>
    <s v="Retail"/>
  </r>
  <r>
    <x v="11"/>
    <x v="8"/>
    <s v="South"/>
    <x v="1"/>
    <x v="2"/>
    <x v="7"/>
    <n v="9986"/>
    <n v="3"/>
    <n v="29958"/>
    <s v="E-commerce"/>
  </r>
  <r>
    <x v="11"/>
    <x v="9"/>
    <s v="South"/>
    <x v="0"/>
    <x v="0"/>
    <x v="0"/>
    <n v="14346"/>
    <n v="10"/>
    <n v="143460"/>
    <s v="E-commerce"/>
  </r>
  <r>
    <x v="11"/>
    <x v="9"/>
    <s v="South"/>
    <x v="0"/>
    <x v="0"/>
    <x v="1"/>
    <n v="13187"/>
    <n v="20"/>
    <n v="263740"/>
    <s v="E-commerce"/>
  </r>
  <r>
    <x v="11"/>
    <x v="9"/>
    <s v="South"/>
    <x v="0"/>
    <x v="0"/>
    <x v="2"/>
    <n v="22657"/>
    <n v="30"/>
    <n v="679710"/>
    <s v="Retail"/>
  </r>
  <r>
    <x v="11"/>
    <x v="9"/>
    <s v="South"/>
    <x v="0"/>
    <x v="0"/>
    <x v="3"/>
    <n v="9909"/>
    <n v="15"/>
    <n v="148635"/>
    <s v="Wholesale"/>
  </r>
  <r>
    <x v="11"/>
    <x v="9"/>
    <s v="South"/>
    <x v="1"/>
    <x v="1"/>
    <x v="4"/>
    <n v="19941"/>
    <n v="2"/>
    <n v="39882"/>
    <s v="Wholesale"/>
  </r>
  <r>
    <x v="11"/>
    <x v="9"/>
    <s v="South"/>
    <x v="1"/>
    <x v="1"/>
    <x v="5"/>
    <n v="16183"/>
    <n v="2"/>
    <n v="32366"/>
    <s v="Wholesale"/>
  </r>
  <r>
    <x v="11"/>
    <x v="9"/>
    <s v="South"/>
    <x v="1"/>
    <x v="1"/>
    <x v="6"/>
    <n v="15521"/>
    <n v="5"/>
    <n v="77605"/>
    <s v="Retail"/>
  </r>
  <r>
    <x v="11"/>
    <x v="9"/>
    <s v="South"/>
    <x v="1"/>
    <x v="2"/>
    <x v="7"/>
    <n v="16868"/>
    <n v="3"/>
    <n v="50604"/>
    <s v="E-commerce"/>
  </r>
  <r>
    <x v="11"/>
    <x v="10"/>
    <s v="South"/>
    <x v="0"/>
    <x v="0"/>
    <x v="0"/>
    <n v="9446"/>
    <n v="10"/>
    <n v="94460"/>
    <s v="E-commerce"/>
  </r>
  <r>
    <x v="11"/>
    <x v="10"/>
    <s v="South"/>
    <x v="0"/>
    <x v="0"/>
    <x v="1"/>
    <n v="14959"/>
    <n v="20"/>
    <n v="299180"/>
    <s v="Wholesale"/>
  </r>
  <r>
    <x v="11"/>
    <x v="10"/>
    <s v="South"/>
    <x v="0"/>
    <x v="0"/>
    <x v="2"/>
    <n v="12467"/>
    <n v="30"/>
    <n v="374010"/>
    <s v="E-commerce"/>
  </r>
  <r>
    <x v="11"/>
    <x v="10"/>
    <s v="South"/>
    <x v="0"/>
    <x v="0"/>
    <x v="3"/>
    <n v="20690"/>
    <n v="15"/>
    <n v="310350"/>
    <s v="Retail"/>
  </r>
  <r>
    <x v="11"/>
    <x v="10"/>
    <s v="South"/>
    <x v="1"/>
    <x v="1"/>
    <x v="4"/>
    <n v="8517"/>
    <n v="2"/>
    <n v="17034"/>
    <s v="Retail"/>
  </r>
  <r>
    <x v="11"/>
    <x v="10"/>
    <s v="South"/>
    <x v="1"/>
    <x v="1"/>
    <x v="5"/>
    <n v="9174"/>
    <n v="2"/>
    <n v="18348"/>
    <s v="Retail"/>
  </r>
  <r>
    <x v="11"/>
    <x v="10"/>
    <s v="South"/>
    <x v="1"/>
    <x v="1"/>
    <x v="6"/>
    <n v="8634"/>
    <n v="5"/>
    <n v="43170"/>
    <s v="Wholesale"/>
  </r>
  <r>
    <x v="11"/>
    <x v="10"/>
    <s v="South"/>
    <x v="1"/>
    <x v="2"/>
    <x v="7"/>
    <n v="8356"/>
    <n v="3"/>
    <n v="25068"/>
    <s v="Wholesale"/>
  </r>
  <r>
    <x v="11"/>
    <x v="11"/>
    <s v="South"/>
    <x v="0"/>
    <x v="0"/>
    <x v="0"/>
    <n v="9042"/>
    <n v="10"/>
    <n v="90420"/>
    <s v="Retail"/>
  </r>
  <r>
    <x v="11"/>
    <x v="11"/>
    <s v="South"/>
    <x v="0"/>
    <x v="0"/>
    <x v="1"/>
    <n v="12363"/>
    <n v="20"/>
    <n v="247260"/>
    <s v="Wholesale"/>
  </r>
  <r>
    <x v="11"/>
    <x v="11"/>
    <s v="South"/>
    <x v="0"/>
    <x v="0"/>
    <x v="2"/>
    <n v="11063"/>
    <n v="30"/>
    <n v="331890"/>
    <s v="Wholesale"/>
  </r>
  <r>
    <x v="11"/>
    <x v="11"/>
    <s v="South"/>
    <x v="0"/>
    <x v="0"/>
    <x v="3"/>
    <n v="14595"/>
    <n v="15"/>
    <n v="218925"/>
    <s v="Retail"/>
  </r>
  <r>
    <x v="11"/>
    <x v="11"/>
    <s v="South"/>
    <x v="1"/>
    <x v="1"/>
    <x v="4"/>
    <n v="19428"/>
    <n v="2"/>
    <n v="38856"/>
    <s v="Retail"/>
  </r>
  <r>
    <x v="11"/>
    <x v="11"/>
    <s v="South"/>
    <x v="1"/>
    <x v="1"/>
    <x v="5"/>
    <n v="16593"/>
    <n v="2"/>
    <n v="33186"/>
    <s v="Wholesale"/>
  </r>
  <r>
    <x v="11"/>
    <x v="11"/>
    <s v="South"/>
    <x v="1"/>
    <x v="1"/>
    <x v="6"/>
    <n v="10050"/>
    <n v="5"/>
    <n v="50250"/>
    <s v="Retail"/>
  </r>
  <r>
    <x v="11"/>
    <x v="11"/>
    <s v="South"/>
    <x v="1"/>
    <x v="2"/>
    <x v="7"/>
    <n v="14738"/>
    <n v="3"/>
    <n v="44214"/>
    <s v="Wholesale"/>
  </r>
  <r>
    <x v="11"/>
    <x v="12"/>
    <s v="East"/>
    <x v="0"/>
    <x v="0"/>
    <x v="0"/>
    <n v="12619"/>
    <n v="10"/>
    <n v="126190"/>
    <s v="Retail"/>
  </r>
  <r>
    <x v="11"/>
    <x v="12"/>
    <s v="East"/>
    <x v="0"/>
    <x v="0"/>
    <x v="1"/>
    <n v="13518"/>
    <n v="20"/>
    <n v="270360"/>
    <s v="Retail"/>
  </r>
  <r>
    <x v="11"/>
    <x v="12"/>
    <s v="East"/>
    <x v="0"/>
    <x v="0"/>
    <x v="2"/>
    <n v="12895"/>
    <n v="30"/>
    <n v="386850"/>
    <s v="Wholesale"/>
  </r>
  <r>
    <x v="11"/>
    <x v="12"/>
    <s v="East"/>
    <x v="0"/>
    <x v="0"/>
    <x v="3"/>
    <n v="17288"/>
    <n v="15"/>
    <n v="259320"/>
    <s v="Wholesale"/>
  </r>
  <r>
    <x v="11"/>
    <x v="12"/>
    <s v="East"/>
    <x v="1"/>
    <x v="1"/>
    <x v="4"/>
    <n v="17726"/>
    <n v="2"/>
    <n v="35452"/>
    <s v="Retail"/>
  </r>
  <r>
    <x v="11"/>
    <x v="12"/>
    <s v="East"/>
    <x v="1"/>
    <x v="1"/>
    <x v="5"/>
    <n v="13756"/>
    <n v="2"/>
    <n v="27512"/>
    <s v="Retail"/>
  </r>
  <r>
    <x v="11"/>
    <x v="12"/>
    <s v="East"/>
    <x v="1"/>
    <x v="1"/>
    <x v="6"/>
    <n v="17773"/>
    <n v="5"/>
    <n v="88865"/>
    <s v="Wholesale"/>
  </r>
  <r>
    <x v="11"/>
    <x v="12"/>
    <s v="East"/>
    <x v="1"/>
    <x v="2"/>
    <x v="7"/>
    <n v="17042"/>
    <n v="3"/>
    <n v="51126"/>
    <s v="E-commerce"/>
  </r>
  <r>
    <x v="11"/>
    <x v="13"/>
    <s v="East"/>
    <x v="0"/>
    <x v="0"/>
    <x v="0"/>
    <n v="15686"/>
    <n v="10"/>
    <n v="156860"/>
    <s v="Retail"/>
  </r>
  <r>
    <x v="11"/>
    <x v="13"/>
    <s v="East"/>
    <x v="0"/>
    <x v="0"/>
    <x v="1"/>
    <n v="10714"/>
    <n v="20"/>
    <n v="214280"/>
    <s v="Wholesale"/>
  </r>
  <r>
    <x v="11"/>
    <x v="13"/>
    <s v="East"/>
    <x v="0"/>
    <x v="0"/>
    <x v="2"/>
    <n v="10775"/>
    <n v="30"/>
    <n v="323250"/>
    <s v="Retail"/>
  </r>
  <r>
    <x v="11"/>
    <x v="13"/>
    <s v="East"/>
    <x v="0"/>
    <x v="0"/>
    <x v="3"/>
    <n v="18297"/>
    <n v="15"/>
    <n v="274455"/>
    <s v="Retail"/>
  </r>
  <r>
    <x v="11"/>
    <x v="13"/>
    <s v="East"/>
    <x v="1"/>
    <x v="1"/>
    <x v="4"/>
    <n v="14638"/>
    <n v="2"/>
    <n v="29276"/>
    <s v="Wholesale"/>
  </r>
  <r>
    <x v="11"/>
    <x v="13"/>
    <s v="East"/>
    <x v="1"/>
    <x v="1"/>
    <x v="5"/>
    <n v="7138"/>
    <n v="2"/>
    <n v="14276"/>
    <s v="Wholesale"/>
  </r>
  <r>
    <x v="11"/>
    <x v="13"/>
    <s v="East"/>
    <x v="1"/>
    <x v="1"/>
    <x v="6"/>
    <n v="18679"/>
    <n v="5"/>
    <n v="93395"/>
    <s v="Retail"/>
  </r>
  <r>
    <x v="11"/>
    <x v="13"/>
    <s v="East"/>
    <x v="1"/>
    <x v="2"/>
    <x v="7"/>
    <n v="13141"/>
    <n v="3"/>
    <n v="39423"/>
    <s v="Wholesale"/>
  </r>
  <r>
    <x v="11"/>
    <x v="14"/>
    <s v="East"/>
    <x v="0"/>
    <x v="0"/>
    <x v="0"/>
    <n v="22377"/>
    <n v="10"/>
    <n v="223770"/>
    <s v="Retail"/>
  </r>
  <r>
    <x v="11"/>
    <x v="14"/>
    <s v="East"/>
    <x v="0"/>
    <x v="0"/>
    <x v="1"/>
    <n v="13867"/>
    <n v="20"/>
    <n v="277340"/>
    <s v="Retail"/>
  </r>
  <r>
    <x v="11"/>
    <x v="14"/>
    <s v="East"/>
    <x v="0"/>
    <x v="0"/>
    <x v="2"/>
    <n v="18095"/>
    <n v="30"/>
    <n v="542850"/>
    <s v="Retail"/>
  </r>
  <r>
    <x v="11"/>
    <x v="14"/>
    <s v="East"/>
    <x v="0"/>
    <x v="0"/>
    <x v="3"/>
    <n v="22955"/>
    <n v="15"/>
    <n v="344325"/>
    <s v="E-commerce"/>
  </r>
  <r>
    <x v="11"/>
    <x v="14"/>
    <s v="East"/>
    <x v="1"/>
    <x v="1"/>
    <x v="4"/>
    <n v="15803"/>
    <n v="2"/>
    <n v="31606"/>
    <s v="E-commerce"/>
  </r>
  <r>
    <x v="11"/>
    <x v="14"/>
    <s v="East"/>
    <x v="1"/>
    <x v="1"/>
    <x v="5"/>
    <n v="19571"/>
    <n v="2"/>
    <n v="39142"/>
    <s v="Retail"/>
  </r>
  <r>
    <x v="11"/>
    <x v="14"/>
    <s v="East"/>
    <x v="1"/>
    <x v="1"/>
    <x v="6"/>
    <n v="20906"/>
    <n v="5"/>
    <n v="104530"/>
    <s v="Wholesale"/>
  </r>
  <r>
    <x v="11"/>
    <x v="14"/>
    <s v="East"/>
    <x v="1"/>
    <x v="2"/>
    <x v="7"/>
    <n v="19199"/>
    <n v="3"/>
    <n v="57597"/>
    <s v="Retail"/>
  </r>
  <r>
    <x v="11"/>
    <x v="15"/>
    <s v="East"/>
    <x v="0"/>
    <x v="0"/>
    <x v="0"/>
    <n v="16546"/>
    <n v="10"/>
    <n v="165460"/>
    <s v="Wholesale"/>
  </r>
  <r>
    <x v="11"/>
    <x v="15"/>
    <s v="East"/>
    <x v="0"/>
    <x v="0"/>
    <x v="1"/>
    <n v="18840"/>
    <n v="20"/>
    <n v="376800"/>
    <s v="E-commerce"/>
  </r>
  <r>
    <x v="11"/>
    <x v="15"/>
    <s v="East"/>
    <x v="0"/>
    <x v="0"/>
    <x v="2"/>
    <n v="11299"/>
    <n v="30"/>
    <n v="338970"/>
    <s v="E-commerce"/>
  </r>
  <r>
    <x v="11"/>
    <x v="15"/>
    <s v="East"/>
    <x v="0"/>
    <x v="0"/>
    <x v="3"/>
    <n v="10556"/>
    <n v="15"/>
    <n v="158340"/>
    <s v="Retail"/>
  </r>
  <r>
    <x v="11"/>
    <x v="15"/>
    <s v="East"/>
    <x v="1"/>
    <x v="1"/>
    <x v="4"/>
    <n v="19749"/>
    <n v="2"/>
    <n v="39498"/>
    <s v="Wholesale"/>
  </r>
  <r>
    <x v="11"/>
    <x v="15"/>
    <s v="East"/>
    <x v="1"/>
    <x v="1"/>
    <x v="5"/>
    <n v="21233"/>
    <n v="2"/>
    <n v="42466"/>
    <s v="E-commerce"/>
  </r>
  <r>
    <x v="11"/>
    <x v="15"/>
    <s v="East"/>
    <x v="1"/>
    <x v="1"/>
    <x v="6"/>
    <n v="8768"/>
    <n v="5"/>
    <n v="43840"/>
    <s v="E-commerce"/>
  </r>
  <r>
    <x v="11"/>
    <x v="15"/>
    <s v="East"/>
    <x v="1"/>
    <x v="2"/>
    <x v="7"/>
    <n v="17943"/>
    <n v="3"/>
    <n v="53829"/>
    <s v="E-commerce"/>
  </r>
  <r>
    <x v="11"/>
    <x v="16"/>
    <s v="East"/>
    <x v="0"/>
    <x v="0"/>
    <x v="0"/>
    <n v="9126"/>
    <n v="10"/>
    <n v="91260"/>
    <s v="Retail"/>
  </r>
  <r>
    <x v="11"/>
    <x v="16"/>
    <s v="East"/>
    <x v="0"/>
    <x v="0"/>
    <x v="1"/>
    <n v="14614"/>
    <n v="20"/>
    <n v="292280"/>
    <s v="E-commerce"/>
  </r>
  <r>
    <x v="11"/>
    <x v="16"/>
    <s v="East"/>
    <x v="0"/>
    <x v="0"/>
    <x v="2"/>
    <n v="6772"/>
    <n v="30"/>
    <n v="203160"/>
    <s v="E-commerce"/>
  </r>
  <r>
    <x v="11"/>
    <x v="16"/>
    <s v="East"/>
    <x v="0"/>
    <x v="0"/>
    <x v="3"/>
    <n v="12979"/>
    <n v="15"/>
    <n v="194685"/>
    <s v="Wholesale"/>
  </r>
  <r>
    <x v="11"/>
    <x v="16"/>
    <s v="East"/>
    <x v="1"/>
    <x v="1"/>
    <x v="4"/>
    <n v="12440"/>
    <n v="2"/>
    <n v="24880"/>
    <s v="Retail"/>
  </r>
  <r>
    <x v="11"/>
    <x v="16"/>
    <s v="East"/>
    <x v="1"/>
    <x v="1"/>
    <x v="5"/>
    <n v="7588"/>
    <n v="2"/>
    <n v="15176"/>
    <s v="Wholesale"/>
  </r>
  <r>
    <x v="11"/>
    <x v="16"/>
    <s v="East"/>
    <x v="1"/>
    <x v="1"/>
    <x v="6"/>
    <n v="18779"/>
    <n v="5"/>
    <n v="93895"/>
    <s v="Retail"/>
  </r>
  <r>
    <x v="11"/>
    <x v="16"/>
    <s v="East"/>
    <x v="1"/>
    <x v="2"/>
    <x v="7"/>
    <n v="19599"/>
    <n v="3"/>
    <n v="58797"/>
    <s v="E-commerce"/>
  </r>
  <r>
    <x v="11"/>
    <x v="17"/>
    <s v="West"/>
    <x v="0"/>
    <x v="0"/>
    <x v="0"/>
    <n v="14231"/>
    <n v="10"/>
    <n v="142310"/>
    <s v="Retail"/>
  </r>
  <r>
    <x v="11"/>
    <x v="17"/>
    <s v="West"/>
    <x v="0"/>
    <x v="0"/>
    <x v="1"/>
    <n v="14215"/>
    <n v="20"/>
    <n v="284300"/>
    <s v="Wholesale"/>
  </r>
  <r>
    <x v="11"/>
    <x v="17"/>
    <s v="West"/>
    <x v="0"/>
    <x v="0"/>
    <x v="2"/>
    <n v="8729"/>
    <n v="30"/>
    <n v="261870"/>
    <s v="E-commerce"/>
  </r>
  <r>
    <x v="11"/>
    <x v="17"/>
    <s v="West"/>
    <x v="0"/>
    <x v="0"/>
    <x v="3"/>
    <n v="11125"/>
    <n v="15"/>
    <n v="166875"/>
    <s v="Wholesale"/>
  </r>
  <r>
    <x v="11"/>
    <x v="17"/>
    <s v="West"/>
    <x v="1"/>
    <x v="1"/>
    <x v="4"/>
    <n v="16196"/>
    <n v="2"/>
    <n v="32392"/>
    <s v="E-commerce"/>
  </r>
  <r>
    <x v="11"/>
    <x v="17"/>
    <s v="West"/>
    <x v="1"/>
    <x v="1"/>
    <x v="5"/>
    <n v="20546"/>
    <n v="2"/>
    <n v="41092"/>
    <s v="E-commerce"/>
  </r>
  <r>
    <x v="11"/>
    <x v="17"/>
    <s v="West"/>
    <x v="1"/>
    <x v="1"/>
    <x v="6"/>
    <n v="12995"/>
    <n v="5"/>
    <n v="64975"/>
    <s v="Retail"/>
  </r>
  <r>
    <x v="11"/>
    <x v="17"/>
    <s v="West"/>
    <x v="1"/>
    <x v="2"/>
    <x v="7"/>
    <n v="14953"/>
    <n v="3"/>
    <n v="44859"/>
    <s v="E-commerce"/>
  </r>
  <r>
    <x v="11"/>
    <x v="18"/>
    <s v="West"/>
    <x v="0"/>
    <x v="0"/>
    <x v="0"/>
    <n v="17100"/>
    <n v="10"/>
    <n v="171000"/>
    <s v="Retail"/>
  </r>
  <r>
    <x v="11"/>
    <x v="18"/>
    <s v="West"/>
    <x v="0"/>
    <x v="0"/>
    <x v="1"/>
    <n v="10217"/>
    <n v="20"/>
    <n v="204340"/>
    <s v="Retail"/>
  </r>
  <r>
    <x v="11"/>
    <x v="18"/>
    <s v="West"/>
    <x v="0"/>
    <x v="0"/>
    <x v="2"/>
    <n v="12898"/>
    <n v="30"/>
    <n v="386940"/>
    <s v="E-commerce"/>
  </r>
  <r>
    <x v="11"/>
    <x v="18"/>
    <s v="West"/>
    <x v="0"/>
    <x v="0"/>
    <x v="3"/>
    <n v="18935"/>
    <n v="15"/>
    <n v="284025"/>
    <s v="Retail"/>
  </r>
  <r>
    <x v="11"/>
    <x v="18"/>
    <s v="West"/>
    <x v="1"/>
    <x v="1"/>
    <x v="4"/>
    <n v="10711"/>
    <n v="2"/>
    <n v="21422"/>
    <s v="E-commerce"/>
  </r>
  <r>
    <x v="11"/>
    <x v="18"/>
    <s v="West"/>
    <x v="1"/>
    <x v="1"/>
    <x v="5"/>
    <n v="15549"/>
    <n v="2"/>
    <n v="31098"/>
    <s v="Retail"/>
  </r>
  <r>
    <x v="11"/>
    <x v="18"/>
    <s v="West"/>
    <x v="1"/>
    <x v="1"/>
    <x v="6"/>
    <n v="15103"/>
    <n v="5"/>
    <n v="75515"/>
    <s v="E-commerce"/>
  </r>
  <r>
    <x v="11"/>
    <x v="18"/>
    <s v="West"/>
    <x v="1"/>
    <x v="2"/>
    <x v="7"/>
    <n v="21542"/>
    <n v="3"/>
    <n v="64626"/>
    <s v="E-commerce"/>
  </r>
  <r>
    <x v="11"/>
    <x v="19"/>
    <s v="West"/>
    <x v="0"/>
    <x v="0"/>
    <x v="0"/>
    <n v="14852"/>
    <n v="10"/>
    <n v="148520"/>
    <s v="Wholesale"/>
  </r>
  <r>
    <x v="11"/>
    <x v="19"/>
    <s v="West"/>
    <x v="0"/>
    <x v="0"/>
    <x v="1"/>
    <n v="11309"/>
    <n v="20"/>
    <n v="226180"/>
    <s v="E-commerce"/>
  </r>
  <r>
    <x v="11"/>
    <x v="19"/>
    <s v="West"/>
    <x v="0"/>
    <x v="0"/>
    <x v="2"/>
    <n v="9547"/>
    <n v="30"/>
    <n v="286410"/>
    <s v="E-commerce"/>
  </r>
  <r>
    <x v="11"/>
    <x v="19"/>
    <s v="West"/>
    <x v="0"/>
    <x v="0"/>
    <x v="3"/>
    <n v="9362"/>
    <n v="15"/>
    <n v="140430"/>
    <s v="Retail"/>
  </r>
  <r>
    <x v="11"/>
    <x v="19"/>
    <s v="West"/>
    <x v="1"/>
    <x v="1"/>
    <x v="4"/>
    <n v="16313"/>
    <n v="2"/>
    <n v="32626"/>
    <s v="Retail"/>
  </r>
  <r>
    <x v="11"/>
    <x v="19"/>
    <s v="West"/>
    <x v="1"/>
    <x v="1"/>
    <x v="5"/>
    <n v="16339"/>
    <n v="2"/>
    <n v="32678"/>
    <s v="Retail"/>
  </r>
  <r>
    <x v="11"/>
    <x v="19"/>
    <s v="West"/>
    <x v="1"/>
    <x v="1"/>
    <x v="6"/>
    <n v="15762"/>
    <n v="5"/>
    <n v="78810"/>
    <s v="E-commerce"/>
  </r>
  <r>
    <x v="11"/>
    <x v="19"/>
    <s v="West"/>
    <x v="1"/>
    <x v="2"/>
    <x v="7"/>
    <n v="10178"/>
    <n v="3"/>
    <n v="30534"/>
    <s v="E-commerce"/>
  </r>
  <r>
    <x v="11"/>
    <x v="20"/>
    <s v="West"/>
    <x v="0"/>
    <x v="0"/>
    <x v="0"/>
    <n v="22794"/>
    <n v="10"/>
    <n v="227940"/>
    <s v="E-commerce"/>
  </r>
  <r>
    <x v="11"/>
    <x v="20"/>
    <s v="West"/>
    <x v="0"/>
    <x v="0"/>
    <x v="1"/>
    <n v="13258"/>
    <n v="20"/>
    <n v="265160"/>
    <s v="E-commerce"/>
  </r>
  <r>
    <x v="11"/>
    <x v="20"/>
    <s v="West"/>
    <x v="0"/>
    <x v="0"/>
    <x v="2"/>
    <n v="8229"/>
    <n v="30"/>
    <n v="246870"/>
    <s v="Wholesale"/>
  </r>
  <r>
    <x v="11"/>
    <x v="20"/>
    <s v="West"/>
    <x v="0"/>
    <x v="0"/>
    <x v="3"/>
    <n v="17586"/>
    <n v="15"/>
    <n v="263790"/>
    <s v="Wholesale"/>
  </r>
  <r>
    <x v="11"/>
    <x v="20"/>
    <s v="West"/>
    <x v="1"/>
    <x v="1"/>
    <x v="4"/>
    <n v="16213"/>
    <n v="2"/>
    <n v="32426"/>
    <s v="Wholesale"/>
  </r>
  <r>
    <x v="11"/>
    <x v="20"/>
    <s v="West"/>
    <x v="1"/>
    <x v="1"/>
    <x v="5"/>
    <n v="19475"/>
    <n v="2"/>
    <n v="38950"/>
    <s v="E-commerce"/>
  </r>
  <r>
    <x v="11"/>
    <x v="20"/>
    <s v="West"/>
    <x v="1"/>
    <x v="1"/>
    <x v="6"/>
    <n v="17651"/>
    <n v="5"/>
    <n v="88255"/>
    <s v="E-commerce"/>
  </r>
  <r>
    <x v="11"/>
    <x v="20"/>
    <s v="West"/>
    <x v="1"/>
    <x v="2"/>
    <x v="7"/>
    <n v="14331"/>
    <n v="3"/>
    <n v="42993"/>
    <s v="Wholesale"/>
  </r>
  <r>
    <x v="11"/>
    <x v="21"/>
    <s v="West"/>
    <x v="0"/>
    <x v="0"/>
    <x v="0"/>
    <n v="13935"/>
    <n v="10"/>
    <n v="139350"/>
    <s v="Wholesale"/>
  </r>
  <r>
    <x v="11"/>
    <x v="21"/>
    <s v="West"/>
    <x v="0"/>
    <x v="0"/>
    <x v="1"/>
    <n v="16757"/>
    <n v="20"/>
    <n v="335140"/>
    <s v="E-commerce"/>
  </r>
  <r>
    <x v="11"/>
    <x v="21"/>
    <s v="West"/>
    <x v="0"/>
    <x v="0"/>
    <x v="2"/>
    <n v="18693"/>
    <n v="30"/>
    <n v="560790"/>
    <s v="Wholesale"/>
  </r>
  <r>
    <x v="11"/>
    <x v="21"/>
    <s v="West"/>
    <x v="0"/>
    <x v="0"/>
    <x v="3"/>
    <n v="9619"/>
    <n v="15"/>
    <n v="144285"/>
    <s v="Wholesale"/>
  </r>
  <r>
    <x v="11"/>
    <x v="21"/>
    <s v="West"/>
    <x v="1"/>
    <x v="1"/>
    <x v="4"/>
    <n v="15678"/>
    <n v="2"/>
    <n v="31356"/>
    <s v="Retail"/>
  </r>
  <r>
    <x v="11"/>
    <x v="21"/>
    <s v="West"/>
    <x v="1"/>
    <x v="1"/>
    <x v="5"/>
    <n v="18722"/>
    <n v="2"/>
    <n v="37444"/>
    <s v="Retail"/>
  </r>
  <r>
    <x v="11"/>
    <x v="21"/>
    <s v="West"/>
    <x v="1"/>
    <x v="1"/>
    <x v="6"/>
    <n v="19608"/>
    <n v="5"/>
    <n v="98040"/>
    <s v="Retail"/>
  </r>
  <r>
    <x v="11"/>
    <x v="21"/>
    <s v="West"/>
    <x v="1"/>
    <x v="2"/>
    <x v="7"/>
    <n v="18552"/>
    <n v="3"/>
    <n v="55656"/>
    <s v="E-commer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179DD8-21C4-40C4-A555-C0ED8CB165A1}" name="PivotTable2" cacheId="2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I1:K25" firstHeaderRow="1" firstDataRow="2" firstDataCol="1"/>
  <pivotFields count="10">
    <pivotField compact="0" outline="0" showAll="0"/>
    <pivotField axis="axisRow" compact="0" outline="0" showAll="0">
      <items count="23">
        <item x="10"/>
        <item x="16"/>
        <item x="14"/>
        <item x="0"/>
        <item x="21"/>
        <item x="18"/>
        <item x="1"/>
        <item x="5"/>
        <item x="6"/>
        <item x="15"/>
        <item x="7"/>
        <item x="8"/>
        <item x="20"/>
        <item x="17"/>
        <item x="13"/>
        <item x="2"/>
        <item x="19"/>
        <item x="9"/>
        <item x="11"/>
        <item x="3"/>
        <item x="4"/>
        <item x="12"/>
        <item t="default"/>
      </items>
    </pivotField>
    <pivotField compact="0" outline="0" showAll="0"/>
    <pivotField axis="axisCol" compact="0" outline="0" showAll="0">
      <items count="3">
        <item x="0"/>
        <item x="1"/>
        <item t="default"/>
      </items>
    </pivotField>
    <pivotField compact="0" outline="0" showAll="0"/>
    <pivotField compact="0" outline="0" showAll="0">
      <items count="9">
        <item h="1" x="3"/>
        <item h="1" x="2"/>
        <item h="1" x="6"/>
        <item h="1" x="1"/>
        <item h="1" x="4"/>
        <item x="5"/>
        <item h="1" x="0"/>
        <item h="1" x="7"/>
        <item t="default"/>
      </items>
    </pivotField>
    <pivotField compact="0" outline="0" showAll="0"/>
    <pivotField compact="0" outline="0" showAll="0"/>
    <pivotField dataField="1" compact="0" outline="0" showAll="0"/>
    <pivotField compact="0" outline="0"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3"/>
  </colFields>
  <colItems count="2">
    <i>
      <x v="1"/>
    </i>
    <i t="grand">
      <x/>
    </i>
  </colItems>
  <dataFields count="1">
    <dataField name="Region wise Revenue" fld="8" baseField="1" baseItem="0" numFmtId="1"/>
  </dataFields>
  <formats count="3">
    <format dxfId="2">
      <pivotArea field="3" grandRow="1" outline="0" axis="axisCol" fieldPosition="0">
        <references count="1">
          <reference field="3" count="1" selected="0">
            <x v="0"/>
          </reference>
        </references>
      </pivotArea>
    </format>
    <format dxfId="1">
      <pivotArea field="3" grandRow="1" outline="0" axis="axisCol" fieldPosition="0">
        <references count="1">
          <reference field="3" count="1" selected="0">
            <x v="1"/>
          </reference>
        </references>
      </pivotArea>
    </format>
    <format dxfId="0">
      <pivotArea grandRow="1" grandCol="1" outline="0" collapsedLevelsAreSubtotals="1" fieldPosition="0"/>
    </format>
  </formats>
  <chartFormats count="3">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969EFB-41C4-489A-9EDF-1BA876AC56AB}" name="PivotTable1" cacheId="2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F1:G15" firstHeaderRow="2" firstDataRow="2" firstDataCol="1"/>
  <pivotFields count="10">
    <pivotField axis="axisRow" compact="0" outline="0" showAll="0">
      <items count="13">
        <item x="0"/>
        <item x="1"/>
        <item x="2"/>
        <item x="3"/>
        <item x="4"/>
        <item x="5"/>
        <item x="6"/>
        <item x="7"/>
        <item x="8"/>
        <item x="9"/>
        <item x="10"/>
        <item x="11"/>
        <item t="default"/>
      </items>
    </pivotField>
    <pivotField compact="0" outline="0" showAll="0">
      <items count="23">
        <item x="10"/>
        <item x="16"/>
        <item x="14"/>
        <item x="0"/>
        <item x="21"/>
        <item x="18"/>
        <item x="1"/>
        <item x="5"/>
        <item x="6"/>
        <item x="15"/>
        <item x="7"/>
        <item x="8"/>
        <item x="20"/>
        <item x="17"/>
        <item x="13"/>
        <item x="2"/>
        <item x="19"/>
        <item x="9"/>
        <item x="11"/>
        <item x="3"/>
        <item x="4"/>
        <item x="12"/>
        <item t="default"/>
      </items>
    </pivotField>
    <pivotField compact="0" outline="0" showAll="0"/>
    <pivotField compact="0" outline="0" showAll="0">
      <items count="3">
        <item x="0"/>
        <item x="1"/>
        <item t="default"/>
      </items>
    </pivotField>
    <pivotField compact="0" outline="0" showAll="0"/>
    <pivotField compact="0" outline="0" showAll="0">
      <items count="9">
        <item h="1" x="3"/>
        <item h="1" x="2"/>
        <item h="1" x="6"/>
        <item h="1" x="1"/>
        <item h="1" x="4"/>
        <item x="5"/>
        <item h="1" x="0"/>
        <item h="1" x="7"/>
        <item t="default"/>
      </items>
    </pivotField>
    <pivotField compact="0" outline="0" showAll="0"/>
    <pivotField compact="0" outline="0" showAll="0"/>
    <pivotField dataField="1" compact="0" outline="0" showAll="0"/>
    <pivotField compact="0" outline="0" showAll="0"/>
  </pivotFields>
  <rowFields count="1">
    <field x="0"/>
  </rowFields>
  <rowItems count="13">
    <i>
      <x/>
    </i>
    <i>
      <x v="1"/>
    </i>
    <i>
      <x v="2"/>
    </i>
    <i>
      <x v="3"/>
    </i>
    <i>
      <x v="4"/>
    </i>
    <i>
      <x v="5"/>
    </i>
    <i>
      <x v="6"/>
    </i>
    <i>
      <x v="7"/>
    </i>
    <i>
      <x v="8"/>
    </i>
    <i>
      <x v="9"/>
    </i>
    <i>
      <x v="10"/>
    </i>
    <i>
      <x v="11"/>
    </i>
    <i t="grand">
      <x/>
    </i>
  </rowItems>
  <colItems count="1">
    <i/>
  </colItems>
  <dataFields count="1">
    <dataField name="Month wise Revenue" fld="8" baseField="0" baseItem="0" numFmtId="166"/>
  </dataFields>
  <formats count="2">
    <format dxfId="4">
      <pivotArea grandRow="1" outline="0" collapsedLevelsAreSubtotals="1" fieldPosition="0"/>
    </format>
    <format dxfId="3">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B163B9-A341-41F0-96AC-227ED7D957C9}" name="PivotTable7" cacheId="2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F22:G23"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23">
        <item x="10"/>
        <item x="16"/>
        <item x="14"/>
        <item x="0"/>
        <item x="21"/>
        <item x="18"/>
        <item x="1"/>
        <item x="5"/>
        <item x="6"/>
        <item x="15"/>
        <item x="7"/>
        <item x="8"/>
        <item x="20"/>
        <item x="17"/>
        <item x="13"/>
        <item x="2"/>
        <item x="19"/>
        <item x="9"/>
        <item x="11"/>
        <item x="3"/>
        <item x="4"/>
        <item x="12"/>
        <item t="default"/>
      </items>
    </pivotField>
    <pivotField compact="0" outline="0" showAll="0"/>
    <pivotField compact="0" outline="0" showAll="0">
      <items count="3">
        <item x="0"/>
        <item x="1"/>
        <item t="default"/>
      </items>
    </pivotField>
    <pivotField compact="0" outline="0" showAll="0"/>
    <pivotField compact="0" outline="0" showAll="0">
      <items count="9">
        <item h="1" x="3"/>
        <item h="1" x="2"/>
        <item h="1" x="6"/>
        <item h="1" x="1"/>
        <item h="1" x="4"/>
        <item x="5"/>
        <item h="1" x="0"/>
        <item h="1" x="7"/>
        <item t="default"/>
      </items>
    </pivotField>
    <pivotField compact="0" outline="0" showAll="0"/>
    <pivotField compact="0" outline="0" showAll="0"/>
    <pivotField dataField="1" compact="0" outline="0" showAll="0"/>
    <pivotField compact="0" outline="0" showAll="0"/>
  </pivotFields>
  <rowItems count="1">
    <i/>
  </rowItems>
  <colItems count="1">
    <i/>
  </colItems>
  <dataFields count="1">
    <dataField name="Sum of Revenue (₹)" fld="8" baseField="0" baseItem="0" numFmtId="166"/>
  </dataFields>
  <formats count="3">
    <format dxfId="7">
      <pivotArea grandRow="1" outline="0" collapsedLevelsAreSubtotals="1" fieldPosition="0"/>
    </format>
    <format dxfId="6">
      <pivotArea outline="0" fieldPosition="0">
        <references count="1">
          <reference field="4294967294" count="1">
            <x v="0"/>
          </reference>
        </references>
      </pivotArea>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969D88-1452-4B6F-8994-CA0949C4F345}" name="PivotTable6" cacheId="2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F18:G19" firstHeaderRow="1" firstDataRow="1" firstDataCol="1" rowPageCount="1" colPageCount="1"/>
  <pivotFields count="10">
    <pivotField compact="0" outline="0" showAll="0">
      <items count="13">
        <item x="0"/>
        <item x="1"/>
        <item x="2"/>
        <item x="3"/>
        <item x="4"/>
        <item x="5"/>
        <item x="6"/>
        <item x="7"/>
        <item x="8"/>
        <item x="9"/>
        <item x="10"/>
        <item x="11"/>
        <item t="default"/>
      </items>
    </pivotField>
    <pivotField compact="0" outline="0" showAll="0">
      <items count="23">
        <item x="10"/>
        <item x="16"/>
        <item x="14"/>
        <item x="0"/>
        <item x="21"/>
        <item x="18"/>
        <item x="1"/>
        <item x="5"/>
        <item x="6"/>
        <item x="15"/>
        <item x="7"/>
        <item x="8"/>
        <item x="20"/>
        <item x="17"/>
        <item x="13"/>
        <item x="2"/>
        <item x="19"/>
        <item x="9"/>
        <item x="11"/>
        <item x="3"/>
        <item x="4"/>
        <item x="12"/>
        <item t="default"/>
      </items>
    </pivotField>
    <pivotField compact="0" outline="0" showAll="0"/>
    <pivotField axis="axisPage" compact="0" outline="0" multipleItemSelectionAllowed="1" showAll="0">
      <items count="3">
        <item x="0"/>
        <item x="1"/>
        <item t="default"/>
      </items>
    </pivotField>
    <pivotField compact="0" outline="0" showAll="0"/>
    <pivotField compact="0" outline="0" showAll="0">
      <items count="9">
        <item h="1" x="3"/>
        <item h="1" x="2"/>
        <item h="1" x="6"/>
        <item h="1" x="1"/>
        <item h="1" x="4"/>
        <item x="5"/>
        <item h="1" x="0"/>
        <item h="1" x="7"/>
        <item t="default"/>
      </items>
    </pivotField>
    <pivotField dataField="1" compact="0" outline="0" showAll="0"/>
    <pivotField compact="0" outline="0" showAll="0"/>
    <pivotField compact="0" outline="0" showAll="0"/>
    <pivotField compact="0" outline="0" showAll="0"/>
  </pivotFields>
  <rowItems count="1">
    <i/>
  </rowItems>
  <colItems count="1">
    <i/>
  </colItems>
  <pageFields count="1">
    <pageField fld="3" hier="-1"/>
  </pageFields>
  <dataFields count="1">
    <dataField name="Sum of Units Sold" fld="6" baseField="0" baseItem="0" numFmtId="166"/>
  </dataFields>
  <formats count="2">
    <format dxfId="9">
      <pivotArea grandRow="1" outline="0" collapsedLevelsAreSubtotals="1" fieldPosition="0"/>
    </format>
    <format dxfId="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F327C4-0E5C-4EEB-9E7D-3EB66E32A1F5}" name="PivotTable4" cacheId="2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N9:O12" firstHeaderRow="2" firstDataRow="2" firstDataCol="1"/>
  <pivotFields count="10">
    <pivotField compact="0" outline="0" showAll="0"/>
    <pivotField compact="0" outline="0" showAll="0">
      <items count="23">
        <item x="10"/>
        <item x="16"/>
        <item x="14"/>
        <item x="0"/>
        <item x="21"/>
        <item x="18"/>
        <item x="1"/>
        <item x="5"/>
        <item x="6"/>
        <item x="15"/>
        <item x="7"/>
        <item x="8"/>
        <item x="20"/>
        <item x="17"/>
        <item x="13"/>
        <item x="2"/>
        <item x="19"/>
        <item x="9"/>
        <item x="11"/>
        <item x="3"/>
        <item x="4"/>
        <item x="12"/>
        <item t="default"/>
      </items>
    </pivotField>
    <pivotField compact="0" outline="0" showAll="0"/>
    <pivotField compact="0" outline="0" showAll="0">
      <items count="3">
        <item x="0"/>
        <item x="1"/>
        <item t="default"/>
      </items>
    </pivotField>
    <pivotField compact="0" outline="0" showAll="0"/>
    <pivotField axis="axisRow" compact="0" outline="0" showAll="0" sortType="descending">
      <items count="9">
        <item h="1" x="3"/>
        <item h="1" x="2"/>
        <item h="1" x="6"/>
        <item h="1" x="1"/>
        <item h="1" x="4"/>
        <item x="5"/>
        <item h="1" x="0"/>
        <item h="1" x="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s>
  <rowFields count="1">
    <field x="5"/>
  </rowFields>
  <rowItems count="2">
    <i>
      <x v="5"/>
    </i>
    <i t="grand">
      <x/>
    </i>
  </rowItems>
  <colItems count="1">
    <i/>
  </colItems>
  <dataFields count="1">
    <dataField name="Sum of Revenue (₹)" fld="8" baseField="0" baseItem="0"/>
  </dataFields>
  <formats count="1">
    <format dxfId="10">
      <pivotArea grandRow="1"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DD84BC-959A-414C-BC66-1DB45D7B031F}" name="PivotTable3" cacheId="2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N1:O4" firstHeaderRow="2" firstDataRow="2" firstDataCol="1"/>
  <pivotFields count="10">
    <pivotField compact="0" outline="0" showAll="0"/>
    <pivotField compact="0" outline="0" showAll="0">
      <items count="23">
        <item x="10"/>
        <item x="16"/>
        <item x="14"/>
        <item x="0"/>
        <item x="21"/>
        <item x="18"/>
        <item x="1"/>
        <item x="5"/>
        <item x="6"/>
        <item x="15"/>
        <item x="7"/>
        <item x="8"/>
        <item x="20"/>
        <item x="17"/>
        <item x="13"/>
        <item x="2"/>
        <item x="19"/>
        <item x="9"/>
        <item x="11"/>
        <item x="3"/>
        <item x="4"/>
        <item x="12"/>
        <item t="default"/>
      </items>
    </pivotField>
    <pivotField compact="0" outline="0" showAll="0"/>
    <pivotField compact="0" outline="0" showAll="0">
      <items count="3">
        <item x="0"/>
        <item x="1"/>
        <item t="default"/>
      </items>
    </pivotField>
    <pivotField axis="axisRow" compact="0" outline="0" showAll="0">
      <items count="4">
        <item x="1"/>
        <item x="2"/>
        <item x="0"/>
        <item t="default"/>
      </items>
    </pivotField>
    <pivotField compact="0" outline="0" showAll="0">
      <items count="9">
        <item h="1" x="3"/>
        <item h="1" x="2"/>
        <item h="1" x="6"/>
        <item h="1" x="1"/>
        <item h="1" x="4"/>
        <item x="5"/>
        <item h="1" x="0"/>
        <item h="1" x="7"/>
        <item t="default"/>
      </items>
    </pivotField>
    <pivotField compact="0" outline="0" showAll="0"/>
    <pivotField compact="0" outline="0" showAll="0"/>
    <pivotField dataField="1" compact="0" outline="0" showAll="0"/>
    <pivotField compact="0" outline="0" showAll="0"/>
  </pivotFields>
  <rowFields count="1">
    <field x="4"/>
  </rowFields>
  <rowItems count="2">
    <i>
      <x/>
    </i>
    <i t="grand">
      <x/>
    </i>
  </rowItems>
  <colItems count="1">
    <i/>
  </colItems>
  <dataFields count="1">
    <dataField name="Grand Total By Brand" fld="8" showDataAs="percentOfTotal" baseField="4" baseItem="1"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B75FDB3-56B5-4B81-93E1-A6CD13C09FC3}" sourceName="Product Category">
  <pivotTables>
    <pivotTable tabId="4" name="PivotTable1"/>
    <pivotTable tabId="4" name="PivotTable2"/>
    <pivotTable tabId="4" name="PivotTable3"/>
    <pivotTable tabId="4" name="PivotTable4"/>
    <pivotTable tabId="4" name="PivotTable6"/>
    <pivotTable tabId="4" name="PivotTable7"/>
  </pivotTables>
  <data>
    <tabular pivotCacheId="723245018">
      <items count="2">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3CAF1EB-63FD-4D74-8CC9-F187A33D07ED}" sourceName="Product Name">
  <pivotTables>
    <pivotTable tabId="4" name="PivotTable3"/>
    <pivotTable tabId="4" name="PivotTable1"/>
    <pivotTable tabId="4" name="PivotTable2"/>
    <pivotTable tabId="4" name="PivotTable4"/>
    <pivotTable tabId="4" name="PivotTable6"/>
    <pivotTable tabId="4" name="PivotTable7"/>
  </pivotTables>
  <data>
    <tabular pivotCacheId="723245018">
      <items count="8">
        <i x="3"/>
        <i x="2"/>
        <i x="6"/>
        <i x="1"/>
        <i x="4"/>
        <i x="5" s="1"/>
        <i x="0"/>
        <i x="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7713144-3E19-4C94-A1DA-6BE4343CC177}" sourceName="State">
  <pivotTables>
    <pivotTable tabId="4" name="PivotTable3"/>
    <pivotTable tabId="4" name="PivotTable1"/>
    <pivotTable tabId="4" name="PivotTable2"/>
    <pivotTable tabId="4" name="PivotTable4"/>
    <pivotTable tabId="4" name="PivotTable6"/>
    <pivotTable tabId="4" name="PivotTable7"/>
  </pivotTables>
  <data>
    <tabular pivotCacheId="723245018">
      <items count="22">
        <i x="10" s="1"/>
        <i x="16" s="1"/>
        <i x="14" s="1"/>
        <i x="0" s="1"/>
        <i x="21" s="1"/>
        <i x="18" s="1"/>
        <i x="1" s="1"/>
        <i x="5" s="1"/>
        <i x="6" s="1"/>
        <i x="15" s="1"/>
        <i x="7" s="1"/>
        <i x="8" s="1"/>
        <i x="20" s="1"/>
        <i x="17" s="1"/>
        <i x="13" s="1"/>
        <i x="2" s="1"/>
        <i x="19" s="1"/>
        <i x="9" s="1"/>
        <i x="11" s="1"/>
        <i x="3" s="1"/>
        <i x="4"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541F6A2A-0E29-4E20-86A6-EFF3F3764972}" cache="Slicer_Product_Category" caption="Product Category" columnCount="2" style="SlicerStyleLight1 2" rowHeight="241300"/>
  <slicer name="Product Name" xr10:uid="{E6C51DF1-B878-45E5-BD95-1B25567BFC61}" cache="Slicer_Product_Name" caption="Product Name" style="SlicerStyleLight1 2" rowHeight="241300"/>
  <slicer name="State" xr10:uid="{E1AF0468-1B11-4154-A8F8-FAF768A18CAC}" cache="Slicer_State" caption="State"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7CD63E-01C4-4EEF-8DAA-16761A004024}" name="Table1" displayName="Table1" ref="E1:N2113" totalsRowShown="0" headerRowDxfId="13" headerRowBorderDxfId="12" tableBorderDxfId="11">
  <autoFilter ref="E1:N2113" xr:uid="{617CD63E-01C4-4EEF-8DAA-16761A004024}"/>
  <tableColumns count="10">
    <tableColumn id="1" xr3:uid="{21675F22-2442-4E5D-9CF7-03C2DEEEC7C5}" name="Date"/>
    <tableColumn id="2" xr3:uid="{D2D000DF-0FC5-4E34-A8A7-ACD41547150B}" name="State"/>
    <tableColumn id="3" xr3:uid="{61CC74F1-81B8-451A-8CA3-B5D58F70972B}" name="Region"/>
    <tableColumn id="4" xr3:uid="{B547E1DC-8268-40B6-8A26-7AF1E03CBB80}" name="Product Category"/>
    <tableColumn id="5" xr3:uid="{6FDB96A4-8A51-48D4-B109-62E35B27FD63}" name="Brand"/>
    <tableColumn id="6" xr3:uid="{9CDF5CFD-F4BD-4E46-909E-678C8362A789}" name="Product Name"/>
    <tableColumn id="7" xr3:uid="{93BF1687-3EF0-4418-88BC-2643388EEAB6}" name="Units Sold"/>
    <tableColumn id="8" xr3:uid="{179F1C42-2CC7-45E5-8E64-613EB11E62A6}" name="Unit Price (₹)"/>
    <tableColumn id="9" xr3:uid="{4693DFE7-A7AD-44D7-AE2F-5AEF14EC6C70}" name="Revenue (₹)"/>
    <tableColumn id="10" xr3:uid="{75C14A90-AEE9-40CD-B821-ACD82D87F0EB}" name="Channe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7571-8861-4BB5-801E-DC891DF5D627}">
  <dimension ref="A1:W37"/>
  <sheetViews>
    <sheetView showGridLines="0" zoomScale="80" zoomScaleNormal="130" workbookViewId="0"/>
  </sheetViews>
  <sheetFormatPr defaultRowHeight="14.5" x14ac:dyDescent="0.35"/>
  <sheetData>
    <row r="1" spans="1:23" x14ac:dyDescent="0.35">
      <c r="A1" s="2"/>
      <c r="B1" s="2"/>
      <c r="C1" s="2"/>
      <c r="D1" s="2"/>
      <c r="E1" s="2"/>
      <c r="F1" s="2"/>
      <c r="G1" s="2"/>
      <c r="H1" s="2"/>
      <c r="I1" s="2"/>
      <c r="J1" s="2"/>
      <c r="K1" s="2"/>
      <c r="L1" s="2"/>
      <c r="M1" s="2"/>
      <c r="N1" s="2"/>
      <c r="O1" s="2"/>
      <c r="P1" s="2"/>
      <c r="Q1" s="2"/>
      <c r="R1" s="2"/>
      <c r="S1" s="2"/>
      <c r="T1" s="2"/>
      <c r="U1" s="2"/>
      <c r="V1" s="2"/>
      <c r="W1" s="2"/>
    </row>
    <row r="2" spans="1:23" x14ac:dyDescent="0.35">
      <c r="A2" s="2"/>
      <c r="B2" s="2"/>
      <c r="C2" s="2"/>
      <c r="D2" s="2"/>
      <c r="E2" s="2"/>
      <c r="F2" s="2"/>
      <c r="G2" s="2"/>
      <c r="H2" s="2"/>
      <c r="I2" s="2"/>
      <c r="J2" s="2"/>
      <c r="K2" s="2"/>
      <c r="L2" s="2"/>
      <c r="M2" s="2"/>
      <c r="N2" s="2"/>
      <c r="O2" s="2"/>
      <c r="P2" s="2"/>
      <c r="Q2" s="2"/>
      <c r="R2" s="2"/>
      <c r="S2" s="2"/>
      <c r="T2" s="2"/>
      <c r="U2" s="2"/>
      <c r="V2" s="2"/>
      <c r="W2" s="2"/>
    </row>
    <row r="3" spans="1:23" x14ac:dyDescent="0.35">
      <c r="A3" s="2"/>
      <c r="B3" s="2"/>
      <c r="C3" s="2"/>
      <c r="D3" s="2"/>
      <c r="E3" s="2"/>
      <c r="F3" s="2"/>
      <c r="G3" s="2"/>
      <c r="H3" s="2"/>
      <c r="I3" s="2"/>
      <c r="J3" s="2"/>
      <c r="K3" s="2"/>
      <c r="L3" s="2"/>
      <c r="M3" s="2"/>
      <c r="N3" s="2"/>
      <c r="O3" s="2"/>
      <c r="P3" s="2"/>
      <c r="Q3" s="2"/>
      <c r="R3" s="2"/>
      <c r="S3" s="2"/>
      <c r="T3" s="2"/>
      <c r="U3" s="2"/>
      <c r="V3" s="2"/>
      <c r="W3" s="2"/>
    </row>
    <row r="4" spans="1:23" x14ac:dyDescent="0.35">
      <c r="A4" s="2"/>
      <c r="B4" s="2"/>
      <c r="C4" s="2"/>
      <c r="D4" s="2"/>
      <c r="E4" s="2"/>
      <c r="F4" s="2"/>
      <c r="G4" s="2"/>
      <c r="H4" s="2"/>
      <c r="I4" s="2"/>
      <c r="J4" s="2"/>
      <c r="K4" s="2"/>
      <c r="L4" s="2"/>
      <c r="M4" s="2"/>
      <c r="N4" s="2"/>
      <c r="O4" s="2"/>
      <c r="P4" s="2"/>
      <c r="Q4" s="2"/>
      <c r="R4" s="2"/>
      <c r="S4" s="2"/>
      <c r="T4" s="2"/>
      <c r="U4" s="2"/>
      <c r="V4" s="2"/>
      <c r="W4" s="2"/>
    </row>
    <row r="5" spans="1:23" x14ac:dyDescent="0.35">
      <c r="A5" s="2"/>
      <c r="B5" s="2"/>
      <c r="C5" s="2"/>
      <c r="D5" s="2"/>
      <c r="E5" s="2"/>
      <c r="F5" s="2"/>
      <c r="G5" s="2"/>
      <c r="H5" s="2"/>
      <c r="I5" s="2"/>
      <c r="J5" s="2"/>
      <c r="K5" s="2"/>
      <c r="L5" s="2"/>
      <c r="M5" s="2"/>
      <c r="N5" s="2"/>
      <c r="O5" s="2"/>
      <c r="P5" s="2"/>
      <c r="Q5" s="2"/>
      <c r="R5" s="2"/>
      <c r="S5" s="2"/>
      <c r="T5" s="2"/>
      <c r="U5" s="2"/>
      <c r="V5" s="2"/>
      <c r="W5" s="2"/>
    </row>
    <row r="6" spans="1:23" x14ac:dyDescent="0.35">
      <c r="A6" s="2"/>
      <c r="B6" s="2"/>
      <c r="C6" s="2"/>
      <c r="D6" s="2"/>
      <c r="E6" s="2"/>
      <c r="F6" s="2"/>
      <c r="G6" s="2"/>
      <c r="H6" s="2"/>
      <c r="I6" s="2"/>
      <c r="J6" s="2"/>
      <c r="K6" s="2"/>
      <c r="L6" s="2"/>
      <c r="M6" s="2"/>
      <c r="N6" s="2"/>
      <c r="O6" s="2"/>
      <c r="P6" s="2"/>
      <c r="Q6" s="2"/>
      <c r="R6" s="2"/>
      <c r="S6" s="2"/>
      <c r="T6" s="2"/>
      <c r="U6" s="2"/>
      <c r="V6" s="2"/>
      <c r="W6" s="2"/>
    </row>
    <row r="7" spans="1:23" x14ac:dyDescent="0.35">
      <c r="A7" s="2"/>
      <c r="B7" s="2"/>
      <c r="C7" s="2"/>
      <c r="D7" s="2"/>
      <c r="E7" s="2"/>
      <c r="F7" s="2"/>
      <c r="G7" s="2"/>
      <c r="H7" s="2"/>
      <c r="I7" s="2"/>
      <c r="J7" s="2"/>
      <c r="K7" s="2"/>
      <c r="L7" s="2"/>
      <c r="M7" s="2"/>
      <c r="N7" s="2"/>
      <c r="O7" s="2"/>
      <c r="P7" s="2"/>
      <c r="Q7" s="2"/>
      <c r="R7" s="2"/>
      <c r="S7" s="2"/>
      <c r="T7" s="2"/>
      <c r="U7" s="2"/>
      <c r="V7" s="2"/>
      <c r="W7" s="2"/>
    </row>
    <row r="8" spans="1:23" x14ac:dyDescent="0.35">
      <c r="A8" s="2"/>
      <c r="B8" s="2"/>
      <c r="C8" s="2"/>
      <c r="D8" s="2"/>
      <c r="E8" s="2"/>
      <c r="F8" s="2"/>
      <c r="G8" s="2"/>
      <c r="H8" s="2"/>
      <c r="I8" s="2"/>
      <c r="J8" s="2"/>
      <c r="K8" s="2"/>
      <c r="L8" s="2"/>
      <c r="M8" s="2"/>
      <c r="N8" s="2"/>
      <c r="O8" s="2"/>
      <c r="P8" s="2"/>
      <c r="Q8" s="2"/>
      <c r="R8" s="2"/>
      <c r="S8" s="2"/>
      <c r="T8" s="2"/>
      <c r="U8" s="2"/>
      <c r="V8" s="2"/>
      <c r="W8" s="2"/>
    </row>
    <row r="9" spans="1:23" x14ac:dyDescent="0.35">
      <c r="A9" s="2"/>
      <c r="B9" s="2"/>
      <c r="C9" s="2"/>
      <c r="D9" s="2"/>
      <c r="E9" s="2"/>
      <c r="F9" s="2"/>
      <c r="G9" s="2"/>
      <c r="H9" s="2"/>
      <c r="I9" s="2"/>
      <c r="J9" s="2"/>
      <c r="K9" s="2"/>
      <c r="L9" s="2"/>
      <c r="M9" s="2"/>
      <c r="N9" s="2"/>
      <c r="O9" s="2"/>
      <c r="P9" s="2"/>
      <c r="Q9" s="2"/>
      <c r="R9" s="2"/>
      <c r="S9" s="2"/>
      <c r="T9" s="2"/>
      <c r="U9" s="2"/>
      <c r="V9" s="2"/>
      <c r="W9" s="2"/>
    </row>
    <row r="10" spans="1:23" x14ac:dyDescent="0.35">
      <c r="A10" s="2"/>
      <c r="B10" s="2"/>
      <c r="C10" s="2"/>
      <c r="D10" s="2"/>
      <c r="E10" s="2"/>
      <c r="F10" s="2"/>
      <c r="G10" s="2"/>
      <c r="H10" s="2"/>
      <c r="I10" s="2"/>
      <c r="J10" s="2"/>
      <c r="K10" s="2"/>
      <c r="L10" s="2"/>
      <c r="M10" s="2"/>
      <c r="N10" s="2"/>
      <c r="O10" s="2"/>
      <c r="P10" s="2"/>
      <c r="Q10" s="2"/>
      <c r="R10" s="2"/>
      <c r="S10" s="2"/>
      <c r="T10" s="2"/>
      <c r="U10" s="2"/>
      <c r="V10" s="2"/>
      <c r="W10" s="2"/>
    </row>
    <row r="11" spans="1:23" x14ac:dyDescent="0.35">
      <c r="A11" s="2"/>
      <c r="B11" s="2"/>
      <c r="C11" s="2"/>
      <c r="D11" s="2"/>
      <c r="E11" s="2"/>
      <c r="F11" s="2"/>
      <c r="G11" s="2"/>
      <c r="H11" s="2"/>
      <c r="I11" s="2"/>
      <c r="J11" s="2"/>
      <c r="K11" s="2"/>
      <c r="L11" s="2"/>
      <c r="M11" s="2"/>
      <c r="N11" s="2"/>
      <c r="O11" s="2"/>
      <c r="P11" s="2"/>
      <c r="Q11" s="2"/>
      <c r="R11" s="2"/>
      <c r="S11" s="2"/>
      <c r="T11" s="2"/>
      <c r="U11" s="2"/>
      <c r="V11" s="2"/>
      <c r="W11" s="2"/>
    </row>
    <row r="12" spans="1:23" x14ac:dyDescent="0.35">
      <c r="A12" s="2"/>
      <c r="B12" s="2"/>
      <c r="C12" s="2"/>
      <c r="D12" s="2"/>
      <c r="E12" s="2"/>
      <c r="F12" s="2"/>
      <c r="G12" s="2"/>
      <c r="H12" s="2"/>
      <c r="I12" s="2"/>
      <c r="J12" s="2"/>
      <c r="K12" s="2"/>
      <c r="L12" s="2"/>
      <c r="M12" s="2"/>
      <c r="N12" s="2"/>
      <c r="O12" s="2"/>
      <c r="P12" s="2"/>
      <c r="Q12" s="2"/>
      <c r="R12" s="2"/>
      <c r="S12" s="2"/>
      <c r="T12" s="2"/>
      <c r="U12" s="2"/>
      <c r="V12" s="2"/>
      <c r="W12" s="2"/>
    </row>
    <row r="13" spans="1:23" x14ac:dyDescent="0.35">
      <c r="A13" s="2"/>
      <c r="B13" s="2"/>
      <c r="C13" s="2"/>
      <c r="D13" s="2"/>
      <c r="E13" s="2"/>
      <c r="F13" s="2"/>
      <c r="G13" s="2"/>
      <c r="H13" s="2"/>
      <c r="I13" s="2"/>
      <c r="J13" s="2"/>
      <c r="K13" s="2"/>
      <c r="L13" s="2"/>
      <c r="M13" s="2"/>
      <c r="N13" s="2"/>
      <c r="O13" s="2"/>
      <c r="P13" s="2"/>
      <c r="Q13" s="2"/>
      <c r="R13" s="2"/>
      <c r="S13" s="2"/>
      <c r="T13" s="2"/>
      <c r="U13" s="2"/>
      <c r="V13" s="2"/>
      <c r="W13" s="2"/>
    </row>
    <row r="14" spans="1:23" x14ac:dyDescent="0.35">
      <c r="A14" s="2"/>
      <c r="B14" s="2"/>
      <c r="C14" s="2"/>
      <c r="D14" s="2"/>
      <c r="E14" s="2"/>
      <c r="F14" s="2"/>
      <c r="G14" s="2"/>
      <c r="H14" s="2"/>
      <c r="I14" s="2"/>
      <c r="J14" s="2"/>
      <c r="K14" s="2"/>
      <c r="L14" s="2"/>
      <c r="M14" s="2"/>
      <c r="N14" s="2"/>
      <c r="O14" s="2"/>
      <c r="P14" s="2"/>
      <c r="Q14" s="2"/>
      <c r="R14" s="2"/>
      <c r="S14" s="2"/>
      <c r="T14" s="2"/>
      <c r="U14" s="2"/>
      <c r="V14" s="2"/>
      <c r="W14" s="2"/>
    </row>
    <row r="15" spans="1:23" x14ac:dyDescent="0.35">
      <c r="A15" s="2"/>
      <c r="B15" s="2"/>
      <c r="C15" s="2"/>
      <c r="D15" s="2"/>
      <c r="E15" s="2"/>
      <c r="F15" s="2"/>
      <c r="G15" s="2"/>
      <c r="H15" s="2"/>
      <c r="I15" s="2"/>
      <c r="J15" s="2"/>
      <c r="K15" s="2"/>
      <c r="L15" s="2"/>
      <c r="M15" s="2"/>
      <c r="N15" s="2"/>
      <c r="O15" s="2"/>
      <c r="P15" s="2"/>
      <c r="Q15" s="2"/>
      <c r="R15" s="2"/>
      <c r="S15" s="2"/>
      <c r="T15" s="2"/>
      <c r="U15" s="2"/>
      <c r="V15" s="2"/>
      <c r="W15" s="2"/>
    </row>
    <row r="16" spans="1:23" x14ac:dyDescent="0.35">
      <c r="A16" s="2"/>
      <c r="B16" s="2"/>
      <c r="C16" s="2"/>
      <c r="D16" s="2"/>
      <c r="E16" s="2"/>
      <c r="F16" s="2"/>
      <c r="G16" s="2"/>
      <c r="H16" s="2"/>
      <c r="I16" s="2"/>
      <c r="J16" s="2"/>
      <c r="K16" s="2"/>
      <c r="L16" s="2"/>
      <c r="M16" s="2"/>
      <c r="N16" s="2"/>
      <c r="O16" s="2"/>
      <c r="P16" s="2"/>
      <c r="Q16" s="2"/>
      <c r="R16" s="2"/>
      <c r="S16" s="2"/>
      <c r="T16" s="2"/>
      <c r="U16" s="2"/>
      <c r="V16" s="2"/>
      <c r="W16" s="2"/>
    </row>
    <row r="17" spans="1:23" x14ac:dyDescent="0.35">
      <c r="A17" s="2"/>
      <c r="B17" s="2"/>
      <c r="C17" s="2"/>
      <c r="D17" s="2"/>
      <c r="E17" s="2"/>
      <c r="F17" s="2"/>
      <c r="G17" s="2"/>
      <c r="H17" s="2"/>
      <c r="I17" s="2"/>
      <c r="J17" s="2"/>
      <c r="K17" s="2"/>
      <c r="L17" s="2"/>
      <c r="M17" s="2"/>
      <c r="N17" s="2"/>
      <c r="O17" s="2"/>
      <c r="P17" s="2"/>
      <c r="Q17" s="2"/>
      <c r="R17" s="2"/>
      <c r="S17" s="2"/>
      <c r="T17" s="2"/>
      <c r="U17" s="2"/>
      <c r="V17" s="2"/>
      <c r="W17" s="2"/>
    </row>
    <row r="18" spans="1:23" x14ac:dyDescent="0.35">
      <c r="A18" s="2"/>
      <c r="B18" s="2"/>
      <c r="C18" s="2"/>
      <c r="D18" s="2"/>
      <c r="E18" s="2"/>
      <c r="F18" s="2"/>
      <c r="G18" s="2"/>
      <c r="H18" s="2"/>
      <c r="I18" s="2"/>
      <c r="J18" s="2"/>
      <c r="K18" s="2"/>
      <c r="L18" s="2"/>
      <c r="M18" s="2"/>
      <c r="N18" s="2"/>
      <c r="O18" s="2"/>
      <c r="P18" s="2"/>
      <c r="Q18" s="2"/>
      <c r="R18" s="2"/>
      <c r="S18" s="2"/>
      <c r="T18" s="2"/>
      <c r="U18" s="2"/>
      <c r="V18" s="2"/>
      <c r="W18" s="2"/>
    </row>
    <row r="19" spans="1:23" x14ac:dyDescent="0.35">
      <c r="A19" s="2"/>
      <c r="B19" s="2"/>
      <c r="C19" s="2"/>
      <c r="D19" s="2"/>
      <c r="E19" s="2"/>
      <c r="F19" s="2"/>
      <c r="G19" s="2"/>
      <c r="H19" s="2"/>
      <c r="I19" s="2"/>
      <c r="J19" s="2"/>
      <c r="K19" s="2"/>
      <c r="L19" s="2"/>
      <c r="M19" s="2"/>
      <c r="N19" s="2"/>
      <c r="O19" s="2"/>
      <c r="P19" s="2"/>
      <c r="Q19" s="2"/>
      <c r="R19" s="2"/>
      <c r="S19" s="2"/>
      <c r="T19" s="2"/>
      <c r="U19" s="2"/>
      <c r="V19" s="2"/>
      <c r="W19" s="2"/>
    </row>
    <row r="20" spans="1:23" x14ac:dyDescent="0.35">
      <c r="A20" s="2"/>
      <c r="B20" s="2"/>
      <c r="C20" s="2"/>
      <c r="D20" s="2"/>
      <c r="E20" s="2"/>
      <c r="F20" s="2"/>
      <c r="G20" s="2"/>
      <c r="H20" s="2"/>
      <c r="I20" s="2"/>
      <c r="J20" s="2"/>
      <c r="K20" s="2"/>
      <c r="L20" s="2"/>
      <c r="M20" s="2"/>
      <c r="N20" s="2"/>
      <c r="O20" s="2"/>
      <c r="P20" s="2"/>
      <c r="Q20" s="2"/>
      <c r="R20" s="2"/>
      <c r="S20" s="2"/>
      <c r="T20" s="2"/>
      <c r="U20" s="2"/>
      <c r="V20" s="2"/>
      <c r="W20" s="2"/>
    </row>
    <row r="21" spans="1:23" x14ac:dyDescent="0.35">
      <c r="A21" s="2"/>
      <c r="B21" s="2"/>
      <c r="C21" s="2"/>
      <c r="D21" s="2"/>
      <c r="E21" s="2"/>
      <c r="F21" s="2"/>
      <c r="G21" s="2"/>
      <c r="H21" s="2"/>
      <c r="I21" s="2"/>
      <c r="J21" s="2"/>
      <c r="K21" s="2"/>
      <c r="L21" s="2"/>
      <c r="M21" s="2"/>
      <c r="N21" s="2"/>
      <c r="O21" s="2"/>
      <c r="P21" s="2"/>
      <c r="Q21" s="2"/>
      <c r="R21" s="2"/>
      <c r="S21" s="2"/>
      <c r="T21" s="2"/>
      <c r="U21" s="2"/>
      <c r="V21" s="2"/>
      <c r="W21" s="2"/>
    </row>
    <row r="22" spans="1:23" x14ac:dyDescent="0.35">
      <c r="A22" s="2"/>
      <c r="B22" s="2"/>
      <c r="C22" s="2"/>
      <c r="D22" s="2"/>
      <c r="E22" s="2"/>
      <c r="F22" s="2"/>
      <c r="G22" s="2"/>
      <c r="H22" s="2"/>
      <c r="I22" s="2"/>
      <c r="J22" s="2"/>
      <c r="K22" s="2"/>
      <c r="L22" s="2"/>
      <c r="M22" s="2"/>
      <c r="N22" s="2"/>
      <c r="O22" s="2"/>
      <c r="P22" s="2"/>
      <c r="Q22" s="2"/>
      <c r="R22" s="2"/>
      <c r="S22" s="2"/>
      <c r="T22" s="2"/>
      <c r="U22" s="2"/>
      <c r="V22" s="2"/>
      <c r="W22" s="2"/>
    </row>
    <row r="23" spans="1:23" x14ac:dyDescent="0.35">
      <c r="A23" s="2"/>
      <c r="B23" s="2"/>
      <c r="C23" s="2"/>
      <c r="D23" s="2"/>
      <c r="E23" s="2"/>
      <c r="F23" s="2"/>
      <c r="G23" s="2"/>
      <c r="H23" s="2"/>
      <c r="I23" s="2"/>
      <c r="J23" s="2"/>
      <c r="K23" s="2"/>
      <c r="L23" s="2"/>
      <c r="M23" s="2"/>
      <c r="N23" s="2"/>
      <c r="O23" s="2"/>
      <c r="P23" s="2"/>
      <c r="Q23" s="2"/>
      <c r="R23" s="2"/>
      <c r="S23" s="2"/>
      <c r="T23" s="2"/>
      <c r="U23" s="2"/>
      <c r="V23" s="2"/>
      <c r="W23" s="2"/>
    </row>
    <row r="24" spans="1:23" x14ac:dyDescent="0.35">
      <c r="A24" s="2"/>
      <c r="B24" s="2"/>
      <c r="C24" s="2"/>
      <c r="D24" s="2"/>
      <c r="E24" s="2"/>
      <c r="F24" s="2"/>
      <c r="G24" s="2"/>
      <c r="H24" s="2"/>
      <c r="I24" s="2"/>
      <c r="J24" s="2"/>
      <c r="K24" s="2"/>
      <c r="L24" s="2"/>
      <c r="M24" s="2"/>
      <c r="N24" s="2"/>
      <c r="O24" s="2"/>
      <c r="P24" s="2"/>
      <c r="Q24" s="2"/>
      <c r="R24" s="2"/>
      <c r="S24" s="2"/>
      <c r="T24" s="2"/>
      <c r="U24" s="2"/>
      <c r="V24" s="2"/>
      <c r="W24" s="2"/>
    </row>
    <row r="25" spans="1:23" x14ac:dyDescent="0.35">
      <c r="A25" s="2"/>
      <c r="B25" s="2"/>
      <c r="C25" s="2"/>
      <c r="D25" s="2"/>
      <c r="E25" s="2"/>
      <c r="F25" s="2"/>
      <c r="G25" s="2"/>
      <c r="H25" s="2"/>
      <c r="I25" s="2"/>
      <c r="J25" s="2"/>
      <c r="K25" s="2"/>
      <c r="L25" s="2"/>
      <c r="M25" s="2"/>
      <c r="N25" s="2"/>
      <c r="O25" s="2"/>
      <c r="P25" s="2"/>
      <c r="Q25" s="2"/>
      <c r="R25" s="2"/>
      <c r="S25" s="2"/>
      <c r="T25" s="2"/>
      <c r="U25" s="2"/>
      <c r="V25" s="2"/>
      <c r="W25" s="2"/>
    </row>
    <row r="26" spans="1:23" x14ac:dyDescent="0.35">
      <c r="A26" s="2"/>
      <c r="B26" s="2"/>
      <c r="C26" s="2"/>
      <c r="D26" s="2"/>
      <c r="E26" s="2"/>
      <c r="F26" s="2"/>
      <c r="G26" s="2"/>
      <c r="H26" s="2"/>
      <c r="I26" s="2"/>
      <c r="J26" s="2"/>
      <c r="K26" s="2"/>
      <c r="L26" s="2"/>
      <c r="M26" s="2"/>
      <c r="N26" s="2"/>
      <c r="O26" s="2"/>
      <c r="P26" s="2"/>
      <c r="Q26" s="2"/>
      <c r="R26" s="2"/>
      <c r="S26" s="2"/>
      <c r="T26" s="2"/>
      <c r="U26" s="2"/>
      <c r="V26" s="2"/>
      <c r="W26" s="2"/>
    </row>
    <row r="27" spans="1:23" x14ac:dyDescent="0.35">
      <c r="A27" s="2"/>
      <c r="B27" s="2"/>
      <c r="C27" s="2"/>
      <c r="D27" s="2"/>
      <c r="E27" s="2"/>
      <c r="F27" s="2"/>
      <c r="G27" s="2"/>
      <c r="H27" s="2"/>
      <c r="I27" s="2"/>
      <c r="J27" s="2"/>
      <c r="K27" s="2"/>
      <c r="L27" s="2"/>
      <c r="M27" s="2"/>
      <c r="N27" s="2"/>
      <c r="O27" s="2"/>
      <c r="P27" s="2"/>
      <c r="Q27" s="2"/>
      <c r="R27" s="2"/>
      <c r="S27" s="2"/>
      <c r="T27" s="2"/>
      <c r="U27" s="2"/>
      <c r="V27" s="2"/>
      <c r="W27" s="2"/>
    </row>
    <row r="28" spans="1:23" x14ac:dyDescent="0.35">
      <c r="A28" s="2"/>
      <c r="B28" s="2"/>
      <c r="C28" s="2"/>
      <c r="D28" s="2"/>
      <c r="E28" s="2"/>
      <c r="F28" s="2"/>
      <c r="G28" s="2"/>
      <c r="H28" s="2"/>
      <c r="I28" s="2"/>
      <c r="J28" s="2"/>
      <c r="K28" s="2"/>
      <c r="L28" s="2"/>
      <c r="M28" s="2"/>
      <c r="N28" s="2"/>
      <c r="O28" s="2"/>
      <c r="P28" s="2"/>
      <c r="Q28" s="2"/>
      <c r="R28" s="2"/>
      <c r="S28" s="2"/>
      <c r="T28" s="2"/>
      <c r="U28" s="2"/>
      <c r="V28" s="2"/>
      <c r="W28" s="2"/>
    </row>
    <row r="29" spans="1:23" x14ac:dyDescent="0.35">
      <c r="A29" s="2"/>
      <c r="B29" s="2"/>
      <c r="C29" s="2"/>
      <c r="D29" s="2"/>
      <c r="E29" s="2"/>
      <c r="F29" s="2"/>
      <c r="G29" s="2"/>
      <c r="H29" s="2"/>
      <c r="I29" s="2"/>
      <c r="J29" s="2"/>
      <c r="K29" s="2"/>
      <c r="L29" s="2"/>
      <c r="M29" s="2"/>
      <c r="N29" s="2"/>
      <c r="O29" s="2"/>
      <c r="P29" s="2"/>
      <c r="Q29" s="2"/>
      <c r="R29" s="2"/>
      <c r="S29" s="2"/>
      <c r="T29" s="2"/>
      <c r="U29" s="2"/>
      <c r="V29" s="2"/>
      <c r="W29" s="2"/>
    </row>
    <row r="30" spans="1:23" x14ac:dyDescent="0.35">
      <c r="A30" s="2"/>
      <c r="B30" s="2"/>
      <c r="C30" s="2"/>
      <c r="D30" s="2"/>
      <c r="E30" s="2"/>
      <c r="F30" s="2"/>
      <c r="G30" s="2"/>
      <c r="H30" s="2"/>
      <c r="I30" s="2"/>
      <c r="J30" s="2"/>
      <c r="K30" s="2"/>
      <c r="L30" s="2"/>
      <c r="M30" s="2"/>
      <c r="N30" s="2"/>
      <c r="O30" s="2"/>
      <c r="P30" s="2"/>
      <c r="Q30" s="2"/>
      <c r="R30" s="2"/>
      <c r="S30" s="2"/>
      <c r="T30" s="2"/>
      <c r="U30" s="2"/>
      <c r="V30" s="2"/>
      <c r="W30" s="2"/>
    </row>
    <row r="31" spans="1:23" x14ac:dyDescent="0.35">
      <c r="A31" s="2"/>
      <c r="B31" s="2"/>
      <c r="C31" s="2"/>
      <c r="D31" s="2"/>
      <c r="E31" s="2"/>
      <c r="F31" s="2"/>
      <c r="G31" s="2"/>
      <c r="H31" s="2"/>
      <c r="I31" s="2"/>
      <c r="J31" s="2"/>
      <c r="K31" s="2"/>
      <c r="L31" s="2"/>
      <c r="M31" s="2"/>
      <c r="N31" s="2"/>
      <c r="O31" s="2"/>
      <c r="P31" s="2"/>
      <c r="Q31" s="2"/>
      <c r="R31" s="2"/>
      <c r="S31" s="2"/>
      <c r="T31" s="2"/>
      <c r="U31" s="2"/>
      <c r="V31" s="2"/>
      <c r="W31" s="2"/>
    </row>
    <row r="32" spans="1:23" x14ac:dyDescent="0.35">
      <c r="A32" s="2"/>
      <c r="B32" s="2"/>
      <c r="C32" s="2"/>
      <c r="D32" s="2"/>
      <c r="E32" s="2"/>
      <c r="F32" s="2"/>
      <c r="G32" s="2"/>
      <c r="H32" s="2"/>
      <c r="I32" s="2"/>
      <c r="J32" s="2"/>
      <c r="K32" s="2"/>
      <c r="L32" s="2"/>
      <c r="M32" s="2"/>
      <c r="N32" s="2"/>
      <c r="O32" s="2"/>
      <c r="P32" s="2"/>
      <c r="Q32" s="2"/>
      <c r="R32" s="2"/>
      <c r="S32" s="2"/>
      <c r="T32" s="2"/>
      <c r="U32" s="2"/>
      <c r="V32" s="2"/>
      <c r="W32" s="2"/>
    </row>
    <row r="33" spans="1:23" x14ac:dyDescent="0.35">
      <c r="A33" s="2"/>
      <c r="B33" s="2"/>
      <c r="C33" s="2"/>
      <c r="D33" s="2"/>
      <c r="E33" s="2"/>
      <c r="F33" s="2"/>
      <c r="G33" s="2"/>
      <c r="H33" s="2"/>
      <c r="I33" s="2"/>
      <c r="J33" s="2"/>
      <c r="K33" s="2"/>
      <c r="L33" s="2"/>
      <c r="M33" s="2"/>
      <c r="N33" s="2"/>
      <c r="O33" s="2"/>
      <c r="P33" s="2"/>
      <c r="Q33" s="2"/>
      <c r="R33" s="2"/>
      <c r="S33" s="2"/>
      <c r="T33" s="2"/>
      <c r="U33" s="2"/>
      <c r="V33" s="2"/>
      <c r="W33" s="2"/>
    </row>
    <row r="34" spans="1:23" x14ac:dyDescent="0.35">
      <c r="A34" s="2"/>
      <c r="B34" s="2"/>
      <c r="C34" s="2"/>
      <c r="D34" s="2"/>
      <c r="E34" s="2"/>
      <c r="F34" s="2"/>
      <c r="G34" s="2"/>
      <c r="H34" s="2"/>
      <c r="I34" s="2"/>
      <c r="J34" s="2"/>
      <c r="K34" s="2"/>
      <c r="L34" s="2"/>
      <c r="M34" s="2"/>
      <c r="N34" s="2"/>
      <c r="O34" s="2"/>
      <c r="P34" s="2"/>
      <c r="Q34" s="2"/>
      <c r="R34" s="2"/>
      <c r="S34" s="2"/>
      <c r="T34" s="2"/>
      <c r="U34" s="2"/>
      <c r="V34" s="2"/>
      <c r="W34" s="2"/>
    </row>
    <row r="35" spans="1:23" x14ac:dyDescent="0.35">
      <c r="A35" s="2"/>
      <c r="B35" s="2"/>
      <c r="C35" s="2"/>
      <c r="D35" s="2"/>
      <c r="E35" s="2"/>
      <c r="F35" s="2"/>
      <c r="G35" s="2"/>
      <c r="H35" s="2"/>
      <c r="I35" s="2"/>
      <c r="J35" s="2"/>
      <c r="K35" s="2"/>
      <c r="L35" s="2"/>
      <c r="M35" s="2"/>
      <c r="N35" s="2"/>
      <c r="O35" s="2"/>
      <c r="P35" s="2"/>
      <c r="Q35" s="2"/>
      <c r="R35" s="2"/>
      <c r="S35" s="2"/>
      <c r="T35" s="2"/>
      <c r="U35" s="2"/>
      <c r="V35" s="2"/>
      <c r="W35" s="2"/>
    </row>
    <row r="36" spans="1:23" x14ac:dyDescent="0.35">
      <c r="A36" s="2"/>
      <c r="B36" s="2"/>
      <c r="C36" s="2"/>
      <c r="D36" s="2"/>
      <c r="E36" s="2"/>
      <c r="F36" s="2"/>
      <c r="G36" s="2"/>
      <c r="H36" s="2"/>
      <c r="I36" s="2"/>
      <c r="J36" s="2"/>
      <c r="K36" s="2"/>
      <c r="L36" s="2"/>
      <c r="M36" s="2"/>
      <c r="N36" s="2"/>
      <c r="O36" s="2"/>
      <c r="P36" s="2"/>
      <c r="Q36" s="2"/>
      <c r="R36" s="2"/>
      <c r="S36" s="2"/>
      <c r="T36" s="2"/>
      <c r="U36" s="2"/>
      <c r="V36" s="2"/>
      <c r="W36" s="2"/>
    </row>
    <row r="37" spans="1:23" x14ac:dyDescent="0.35">
      <c r="A37" s="2"/>
      <c r="B37" s="2"/>
      <c r="C37" s="2"/>
      <c r="D37" s="2"/>
      <c r="E37" s="2"/>
      <c r="F37" s="2"/>
      <c r="G37" s="2"/>
      <c r="H37" s="2"/>
      <c r="I37" s="2"/>
      <c r="J37" s="2"/>
      <c r="K37" s="2"/>
      <c r="L37" s="2"/>
      <c r="M37" s="2"/>
      <c r="N37" s="2"/>
      <c r="O37" s="2"/>
      <c r="P37" s="2"/>
      <c r="Q37" s="2"/>
      <c r="R37" s="2"/>
      <c r="S37" s="2"/>
      <c r="T37" s="2"/>
      <c r="U37" s="2"/>
      <c r="V37" s="2"/>
      <c r="W37" s="2"/>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C36C5-E8E9-420C-97D2-9341A3E8DA8E}">
  <dimension ref="A1:U37"/>
  <sheetViews>
    <sheetView showGridLines="0" zoomScale="52" zoomScaleNormal="98" workbookViewId="0"/>
  </sheetViews>
  <sheetFormatPr defaultRowHeight="14.5" x14ac:dyDescent="0.35"/>
  <sheetData>
    <row r="1" spans="1:21" x14ac:dyDescent="0.35">
      <c r="A1" s="2"/>
      <c r="B1" s="2"/>
      <c r="C1" s="2"/>
      <c r="D1" s="2"/>
      <c r="E1" s="2"/>
      <c r="F1" s="2"/>
      <c r="G1" s="2"/>
      <c r="H1" s="2"/>
      <c r="I1" s="2"/>
      <c r="J1" s="2"/>
      <c r="K1" s="2"/>
      <c r="L1" s="2"/>
      <c r="M1" s="2"/>
      <c r="N1" s="2"/>
      <c r="O1" s="2"/>
      <c r="P1" s="2"/>
      <c r="Q1" s="2"/>
      <c r="R1" s="2"/>
      <c r="S1" s="2"/>
      <c r="T1" s="2"/>
      <c r="U1" s="2"/>
    </row>
    <row r="2" spans="1:21" x14ac:dyDescent="0.35">
      <c r="A2" s="2"/>
      <c r="B2" s="2"/>
      <c r="C2" s="2"/>
      <c r="D2" s="2"/>
      <c r="E2" s="2"/>
      <c r="F2" s="2"/>
      <c r="G2" s="2"/>
      <c r="H2" s="2"/>
      <c r="I2" s="2"/>
      <c r="J2" s="2"/>
      <c r="K2" s="2"/>
      <c r="L2" s="2"/>
      <c r="M2" s="2"/>
      <c r="N2" s="2"/>
      <c r="O2" s="2"/>
      <c r="P2" s="2"/>
      <c r="Q2" s="2"/>
      <c r="R2" s="2"/>
      <c r="S2" s="2"/>
      <c r="T2" s="2"/>
      <c r="U2" s="2"/>
    </row>
    <row r="3" spans="1:21" x14ac:dyDescent="0.35">
      <c r="A3" s="2"/>
      <c r="B3" s="2"/>
      <c r="C3" s="2"/>
      <c r="D3" s="2"/>
      <c r="E3" s="2"/>
      <c r="F3" s="2"/>
      <c r="G3" s="2"/>
      <c r="H3" s="2"/>
      <c r="I3" s="2"/>
      <c r="J3" s="2"/>
      <c r="K3" s="2"/>
      <c r="L3" s="2"/>
      <c r="M3" s="2"/>
      <c r="N3" s="2"/>
      <c r="O3" s="2"/>
      <c r="P3" s="2"/>
      <c r="Q3" s="2"/>
      <c r="R3" s="2"/>
      <c r="S3" s="2"/>
      <c r="T3" s="2"/>
      <c r="U3" s="2"/>
    </row>
    <row r="4" spans="1:21" x14ac:dyDescent="0.35">
      <c r="A4" s="2"/>
      <c r="B4" s="2"/>
      <c r="C4" s="2"/>
      <c r="D4" s="2"/>
      <c r="E4" s="2"/>
      <c r="F4" s="2"/>
      <c r="G4" s="2"/>
      <c r="H4" s="2"/>
      <c r="I4" s="2"/>
      <c r="J4" s="2"/>
      <c r="K4" s="2"/>
      <c r="L4" s="2"/>
      <c r="M4" s="2"/>
      <c r="N4" s="2"/>
      <c r="O4" s="2"/>
      <c r="P4" s="2"/>
      <c r="Q4" s="2"/>
      <c r="R4" s="2"/>
      <c r="S4" s="2"/>
      <c r="T4" s="2"/>
      <c r="U4" s="2"/>
    </row>
    <row r="5" spans="1:21" x14ac:dyDescent="0.35">
      <c r="A5" s="2"/>
      <c r="B5" s="2"/>
      <c r="C5" s="2"/>
      <c r="D5" s="2"/>
      <c r="E5" s="2"/>
      <c r="F5" s="2"/>
      <c r="G5" s="2"/>
      <c r="H5" s="2"/>
      <c r="I5" s="2"/>
      <c r="J5" s="2"/>
      <c r="K5" s="2"/>
      <c r="L5" s="2"/>
      <c r="M5" s="2"/>
      <c r="N5" s="2"/>
      <c r="O5" s="2"/>
      <c r="P5" s="2"/>
      <c r="Q5" s="2"/>
      <c r="R5" s="2"/>
      <c r="S5" s="2"/>
      <c r="T5" s="2"/>
      <c r="U5" s="2"/>
    </row>
    <row r="6" spans="1:21" x14ac:dyDescent="0.35">
      <c r="A6" s="2"/>
      <c r="B6" s="2"/>
      <c r="C6" s="2"/>
      <c r="D6" s="2"/>
      <c r="E6" s="2"/>
      <c r="F6" s="2"/>
      <c r="G6" s="2"/>
      <c r="H6" s="8"/>
      <c r="I6" s="8"/>
      <c r="J6" s="8"/>
      <c r="K6" s="8"/>
      <c r="L6" s="8"/>
      <c r="M6" s="8"/>
      <c r="N6" s="2"/>
      <c r="O6" s="2"/>
      <c r="P6" s="2"/>
      <c r="Q6" s="2"/>
      <c r="R6" s="2"/>
      <c r="S6" s="2"/>
      <c r="T6" s="2"/>
      <c r="U6" s="2"/>
    </row>
    <row r="7" spans="1:21" x14ac:dyDescent="0.35">
      <c r="A7" s="2"/>
      <c r="B7" s="2"/>
      <c r="C7" s="2"/>
      <c r="D7" s="2"/>
      <c r="E7" s="2"/>
      <c r="F7" s="2"/>
      <c r="G7" s="2"/>
      <c r="H7" s="8"/>
      <c r="I7" s="8"/>
      <c r="J7" s="8"/>
      <c r="K7" s="8"/>
      <c r="L7" s="8"/>
      <c r="M7" s="8"/>
      <c r="N7" s="2"/>
      <c r="O7" s="2"/>
      <c r="P7" s="2"/>
      <c r="Q7" s="2"/>
      <c r="R7" s="2"/>
      <c r="S7" s="2"/>
      <c r="T7" s="2"/>
      <c r="U7" s="2"/>
    </row>
    <row r="8" spans="1:21" x14ac:dyDescent="0.35">
      <c r="A8" s="2"/>
      <c r="B8" s="2"/>
      <c r="C8" s="2"/>
      <c r="D8" s="2"/>
      <c r="E8" s="2"/>
      <c r="F8" s="2"/>
      <c r="G8" s="2"/>
      <c r="H8" s="8"/>
      <c r="I8" s="8"/>
      <c r="J8" s="8"/>
      <c r="K8" s="8"/>
      <c r="L8" s="8"/>
      <c r="M8" s="8"/>
      <c r="N8" s="2"/>
      <c r="O8" s="2"/>
      <c r="P8" s="2"/>
      <c r="Q8" s="2"/>
      <c r="R8" s="2"/>
      <c r="S8" s="2"/>
      <c r="T8" s="2"/>
      <c r="U8" s="2"/>
    </row>
    <row r="9" spans="1:21" x14ac:dyDescent="0.35">
      <c r="A9" s="2"/>
      <c r="B9" s="2"/>
      <c r="C9" s="2"/>
      <c r="D9" s="2"/>
      <c r="E9" s="2"/>
      <c r="F9" s="2"/>
      <c r="G9" s="2"/>
      <c r="H9" s="8"/>
      <c r="I9" s="8"/>
      <c r="J9" s="8"/>
      <c r="K9" s="8"/>
      <c r="L9" s="8"/>
      <c r="M9" s="8"/>
      <c r="N9" s="2"/>
      <c r="O9" s="2"/>
      <c r="P9" s="2"/>
      <c r="Q9" s="2"/>
      <c r="R9" s="2"/>
      <c r="S9" s="2"/>
      <c r="T9" s="2"/>
      <c r="U9" s="2"/>
    </row>
    <row r="10" spans="1:21" x14ac:dyDescent="0.35">
      <c r="A10" s="2"/>
      <c r="B10" s="2"/>
      <c r="C10" s="2"/>
      <c r="D10" s="2"/>
      <c r="E10" s="2"/>
      <c r="F10" s="2"/>
      <c r="G10" s="2"/>
      <c r="H10" s="2"/>
      <c r="I10" s="2"/>
      <c r="J10" s="2"/>
      <c r="K10" s="2"/>
      <c r="L10" s="2"/>
      <c r="M10" s="2"/>
      <c r="N10" s="2"/>
      <c r="O10" s="2"/>
      <c r="P10" s="2"/>
      <c r="Q10" s="2"/>
      <c r="R10" s="2"/>
      <c r="S10" s="2"/>
      <c r="T10" s="2"/>
      <c r="U10" s="2"/>
    </row>
    <row r="11" spans="1:21" x14ac:dyDescent="0.35">
      <c r="A11" s="2"/>
      <c r="B11" s="2"/>
      <c r="C11" s="2"/>
      <c r="D11" s="2"/>
      <c r="E11" s="2"/>
      <c r="F11" s="2"/>
      <c r="G11" s="2"/>
      <c r="H11" s="2"/>
      <c r="I11" s="2"/>
      <c r="J11" s="2"/>
      <c r="K11" s="2"/>
      <c r="L11" s="2"/>
      <c r="M11" s="2"/>
      <c r="N11" s="2"/>
      <c r="O11" s="2"/>
      <c r="P11" s="2"/>
      <c r="Q11" s="2"/>
      <c r="R11" s="2"/>
      <c r="S11" s="2"/>
      <c r="T11" s="2"/>
      <c r="U11" s="2"/>
    </row>
    <row r="12" spans="1:21" x14ac:dyDescent="0.35">
      <c r="A12" s="2"/>
      <c r="B12" s="2"/>
      <c r="C12" s="2"/>
      <c r="D12" s="2"/>
      <c r="E12" s="2"/>
      <c r="F12" s="2"/>
      <c r="G12" s="2"/>
      <c r="H12" s="2"/>
      <c r="I12" s="2"/>
      <c r="J12" s="2"/>
      <c r="K12" s="2"/>
      <c r="L12" s="2"/>
      <c r="M12" s="2"/>
      <c r="N12" s="2"/>
      <c r="O12" s="2"/>
      <c r="P12" s="2"/>
      <c r="Q12" s="2"/>
      <c r="R12" s="2"/>
      <c r="S12" s="2"/>
      <c r="T12" s="2"/>
      <c r="U12" s="2"/>
    </row>
    <row r="13" spans="1:21" x14ac:dyDescent="0.35">
      <c r="A13" s="2"/>
      <c r="B13" s="2"/>
      <c r="C13" s="2"/>
      <c r="D13" s="2"/>
      <c r="E13" s="2"/>
      <c r="F13" s="2"/>
      <c r="G13" s="2"/>
      <c r="H13" s="2"/>
      <c r="I13" s="2"/>
      <c r="J13" s="2"/>
      <c r="K13" s="2"/>
      <c r="L13" s="2"/>
      <c r="M13" s="2"/>
      <c r="N13" s="2"/>
      <c r="O13" s="2"/>
      <c r="P13" s="2"/>
      <c r="Q13" s="2"/>
      <c r="R13" s="2"/>
      <c r="S13" s="2"/>
      <c r="T13" s="2"/>
      <c r="U13" s="2"/>
    </row>
    <row r="14" spans="1:21" x14ac:dyDescent="0.35">
      <c r="A14" s="2"/>
      <c r="B14" s="2"/>
      <c r="C14" s="2"/>
      <c r="D14" s="2"/>
      <c r="E14" s="2"/>
      <c r="F14" s="2"/>
      <c r="G14" s="2"/>
      <c r="H14" s="2"/>
      <c r="I14" s="2"/>
      <c r="J14" s="2"/>
      <c r="K14" s="2"/>
      <c r="L14" s="2"/>
      <c r="M14" s="2"/>
      <c r="N14" s="2"/>
      <c r="O14" s="2"/>
      <c r="P14" s="2"/>
      <c r="Q14" s="2"/>
      <c r="R14" s="2"/>
      <c r="S14" s="2"/>
      <c r="T14" s="2"/>
      <c r="U14" s="2"/>
    </row>
    <row r="15" spans="1:21" x14ac:dyDescent="0.35">
      <c r="A15" s="2"/>
      <c r="B15" s="2"/>
      <c r="C15" s="2"/>
      <c r="D15" s="2"/>
      <c r="E15" s="2"/>
      <c r="F15" s="2"/>
      <c r="G15" s="2"/>
      <c r="H15" s="2"/>
      <c r="I15" s="2"/>
      <c r="J15" s="2"/>
      <c r="K15" s="2"/>
      <c r="L15" s="2"/>
      <c r="M15" s="2"/>
      <c r="N15" s="2"/>
      <c r="O15" s="2"/>
      <c r="P15" s="2"/>
      <c r="Q15" s="2"/>
      <c r="R15" s="2"/>
      <c r="S15" s="2"/>
      <c r="T15" s="2"/>
      <c r="U15" s="2"/>
    </row>
    <row r="16" spans="1:21" x14ac:dyDescent="0.35">
      <c r="A16" s="2"/>
      <c r="B16" s="2"/>
      <c r="C16" s="2"/>
      <c r="D16" s="2"/>
      <c r="E16" s="2"/>
      <c r="F16" s="2"/>
      <c r="G16" s="2"/>
      <c r="H16" s="2"/>
      <c r="I16" s="2"/>
      <c r="J16" s="2"/>
      <c r="K16" s="2"/>
      <c r="L16" s="2"/>
      <c r="M16" s="2"/>
      <c r="N16" s="2"/>
      <c r="O16" s="2"/>
      <c r="P16" s="2"/>
      <c r="Q16" s="2"/>
      <c r="R16" s="2"/>
      <c r="S16" s="2"/>
      <c r="T16" s="2"/>
      <c r="U16" s="2"/>
    </row>
    <row r="17" spans="1:21" x14ac:dyDescent="0.35">
      <c r="A17" s="2"/>
      <c r="B17" s="2"/>
      <c r="C17" s="2"/>
      <c r="D17" s="2"/>
      <c r="E17" s="2"/>
      <c r="F17" s="2"/>
      <c r="G17" s="2"/>
      <c r="H17" s="2"/>
      <c r="I17" s="2"/>
      <c r="J17" s="2"/>
      <c r="K17" s="2"/>
      <c r="L17" s="2"/>
      <c r="M17" s="2"/>
      <c r="N17" s="2"/>
      <c r="O17" s="2"/>
      <c r="P17" s="2"/>
      <c r="Q17" s="2"/>
      <c r="R17" s="2"/>
      <c r="S17" s="2"/>
      <c r="T17" s="2"/>
      <c r="U17" s="2"/>
    </row>
    <row r="18" spans="1:21" x14ac:dyDescent="0.35">
      <c r="A18" s="2"/>
      <c r="B18" s="2"/>
      <c r="C18" s="2"/>
      <c r="D18" s="2"/>
      <c r="E18" s="2"/>
      <c r="F18" s="2"/>
      <c r="G18" s="2"/>
      <c r="H18" s="8"/>
      <c r="I18" s="2"/>
      <c r="J18" s="2"/>
      <c r="K18" s="2"/>
      <c r="L18" s="2"/>
      <c r="M18" s="2"/>
      <c r="N18" s="2"/>
      <c r="O18" s="2"/>
      <c r="P18" s="2"/>
      <c r="Q18" s="2"/>
      <c r="R18" s="2"/>
      <c r="S18" s="2"/>
      <c r="T18" s="2"/>
      <c r="U18" s="2"/>
    </row>
    <row r="19" spans="1:21" x14ac:dyDescent="0.35">
      <c r="A19" s="2"/>
      <c r="B19" s="2"/>
      <c r="C19" s="2"/>
      <c r="D19" s="2"/>
      <c r="E19" s="2"/>
      <c r="F19" s="2"/>
      <c r="G19" s="2"/>
      <c r="H19" s="2"/>
      <c r="I19" s="2"/>
      <c r="J19" s="2"/>
      <c r="K19" s="2"/>
      <c r="L19" s="2"/>
      <c r="M19" s="2"/>
      <c r="N19" s="2"/>
      <c r="O19" s="2"/>
      <c r="P19" s="2"/>
      <c r="Q19" s="2"/>
      <c r="R19" s="2"/>
      <c r="S19" s="2"/>
      <c r="T19" s="2"/>
      <c r="U19" s="2"/>
    </row>
    <row r="20" spans="1:21" x14ac:dyDescent="0.35">
      <c r="A20" s="2"/>
      <c r="B20" s="2"/>
      <c r="C20" s="2"/>
      <c r="D20" s="2"/>
      <c r="E20" s="2"/>
      <c r="F20" s="2"/>
      <c r="G20" s="2"/>
      <c r="H20" s="2"/>
      <c r="I20" s="2"/>
      <c r="J20" s="2"/>
      <c r="K20" s="2"/>
      <c r="L20" s="2"/>
      <c r="M20" s="2"/>
      <c r="N20" s="2"/>
      <c r="O20" s="2"/>
      <c r="P20" s="2"/>
      <c r="Q20" s="2"/>
      <c r="R20" s="2"/>
      <c r="S20" s="2"/>
      <c r="T20" s="2"/>
      <c r="U20" s="2"/>
    </row>
    <row r="21" spans="1:21" x14ac:dyDescent="0.35">
      <c r="A21" s="2"/>
      <c r="B21" s="2"/>
      <c r="C21" s="2"/>
      <c r="D21" s="2"/>
      <c r="E21" s="2"/>
      <c r="F21" s="2"/>
      <c r="G21" s="2"/>
      <c r="H21" s="2"/>
      <c r="I21" s="2"/>
      <c r="J21" s="2"/>
      <c r="K21" s="2"/>
      <c r="L21" s="2"/>
      <c r="M21" s="2"/>
      <c r="N21" s="2"/>
      <c r="O21" s="2"/>
      <c r="P21" s="2"/>
      <c r="Q21" s="2"/>
      <c r="R21" s="2"/>
      <c r="S21" s="2"/>
      <c r="T21" s="2"/>
      <c r="U21" s="2"/>
    </row>
    <row r="22" spans="1:21" x14ac:dyDescent="0.35">
      <c r="A22" s="2"/>
      <c r="B22" s="2"/>
      <c r="C22" s="2"/>
      <c r="D22" s="2"/>
      <c r="E22" s="2"/>
      <c r="F22" s="2"/>
      <c r="G22" s="2"/>
      <c r="H22" s="2"/>
      <c r="I22" s="2"/>
      <c r="J22" s="2"/>
      <c r="K22" s="2"/>
      <c r="L22" s="2"/>
      <c r="M22" s="2"/>
      <c r="N22" s="2"/>
      <c r="O22" s="2"/>
      <c r="P22" s="2"/>
      <c r="Q22" s="2"/>
      <c r="R22" s="2"/>
      <c r="S22" s="2"/>
      <c r="T22" s="2"/>
      <c r="U22" s="2"/>
    </row>
    <row r="23" spans="1:21" x14ac:dyDescent="0.35">
      <c r="A23" s="2"/>
      <c r="B23" s="2"/>
      <c r="C23" s="2"/>
      <c r="D23" s="2"/>
      <c r="E23" s="2"/>
      <c r="F23" s="2"/>
      <c r="G23" s="2"/>
      <c r="H23" s="2"/>
      <c r="I23" s="2"/>
      <c r="J23" s="2"/>
      <c r="K23" s="2"/>
      <c r="L23" s="2"/>
      <c r="M23" s="2"/>
      <c r="N23" s="2"/>
      <c r="O23" s="2"/>
      <c r="P23" s="2"/>
      <c r="Q23" s="2"/>
      <c r="R23" s="2"/>
      <c r="S23" s="2"/>
      <c r="T23" s="2"/>
      <c r="U23" s="2"/>
    </row>
    <row r="24" spans="1:21" x14ac:dyDescent="0.35">
      <c r="A24" s="2"/>
      <c r="B24" s="2"/>
      <c r="C24" s="2"/>
      <c r="D24" s="2"/>
      <c r="E24" s="2"/>
      <c r="F24" s="2"/>
      <c r="G24" s="2"/>
      <c r="H24" s="2"/>
      <c r="I24" s="2"/>
      <c r="J24" s="2"/>
      <c r="K24" s="2"/>
      <c r="L24" s="2"/>
      <c r="M24" s="2"/>
      <c r="N24" s="2"/>
      <c r="O24" s="2"/>
      <c r="P24" s="2"/>
      <c r="Q24" s="2"/>
      <c r="R24" s="2"/>
      <c r="S24" s="2"/>
      <c r="T24" s="2"/>
      <c r="U24" s="2"/>
    </row>
    <row r="25" spans="1:21" x14ac:dyDescent="0.35">
      <c r="A25" s="2"/>
      <c r="B25" s="2"/>
      <c r="C25" s="2"/>
      <c r="D25" s="2"/>
      <c r="E25" s="2"/>
      <c r="F25" s="2"/>
      <c r="G25" s="2"/>
      <c r="H25" s="2"/>
      <c r="I25" s="2"/>
      <c r="J25" s="2"/>
      <c r="K25" s="2"/>
      <c r="L25" s="2"/>
      <c r="M25" s="2"/>
      <c r="N25" s="2"/>
      <c r="O25" s="2"/>
      <c r="P25" s="2"/>
      <c r="Q25" s="2"/>
      <c r="R25" s="2"/>
      <c r="S25" s="2"/>
      <c r="T25" s="2"/>
      <c r="U25" s="2"/>
    </row>
    <row r="26" spans="1:21" x14ac:dyDescent="0.35">
      <c r="A26" s="2"/>
      <c r="B26" s="2"/>
      <c r="C26" s="2"/>
      <c r="D26" s="2"/>
      <c r="E26" s="2"/>
      <c r="F26" s="2"/>
      <c r="G26" s="2"/>
      <c r="H26" s="2"/>
      <c r="I26" s="2"/>
      <c r="J26" s="2"/>
      <c r="K26" s="2"/>
      <c r="L26" s="2"/>
      <c r="M26" s="2"/>
      <c r="N26" s="2"/>
      <c r="O26" s="2"/>
      <c r="P26" s="2"/>
      <c r="Q26" s="2"/>
      <c r="R26" s="2"/>
      <c r="S26" s="2"/>
      <c r="T26" s="2"/>
      <c r="U26" s="2"/>
    </row>
    <row r="27" spans="1:21" x14ac:dyDescent="0.35">
      <c r="A27" s="2"/>
      <c r="B27" s="2"/>
      <c r="C27" s="2"/>
      <c r="D27" s="2"/>
      <c r="E27" s="2"/>
      <c r="F27" s="2"/>
      <c r="G27" s="2"/>
      <c r="H27" s="2"/>
      <c r="I27" s="2"/>
      <c r="J27" s="2"/>
      <c r="K27" s="2"/>
      <c r="L27" s="2"/>
      <c r="M27" s="2"/>
      <c r="N27" s="2"/>
      <c r="O27" s="2"/>
      <c r="P27" s="2"/>
      <c r="Q27" s="2"/>
      <c r="R27" s="2"/>
      <c r="S27" s="2"/>
      <c r="T27" s="2"/>
      <c r="U27" s="2"/>
    </row>
    <row r="28" spans="1:21" x14ac:dyDescent="0.35">
      <c r="A28" s="2"/>
      <c r="B28" s="2"/>
      <c r="C28" s="2"/>
      <c r="D28" s="2"/>
      <c r="E28" s="2"/>
      <c r="F28" s="2"/>
      <c r="G28" s="2"/>
      <c r="H28" s="2"/>
      <c r="I28" s="2"/>
      <c r="J28" s="2"/>
      <c r="K28" s="2"/>
      <c r="L28" s="2"/>
      <c r="M28" s="2"/>
      <c r="N28" s="2"/>
      <c r="O28" s="2"/>
      <c r="P28" s="2"/>
      <c r="Q28" s="2"/>
      <c r="R28" s="2"/>
      <c r="S28" s="2"/>
      <c r="T28" s="2"/>
      <c r="U28" s="2"/>
    </row>
    <row r="29" spans="1:21" x14ac:dyDescent="0.35">
      <c r="A29" s="2"/>
      <c r="B29" s="2"/>
      <c r="C29" s="2"/>
      <c r="D29" s="2"/>
      <c r="E29" s="2"/>
      <c r="F29" s="2"/>
      <c r="G29" s="2"/>
      <c r="H29" s="2"/>
      <c r="I29" s="2"/>
      <c r="J29" s="2"/>
      <c r="K29" s="2"/>
      <c r="L29" s="2"/>
      <c r="M29" s="2"/>
      <c r="N29" s="2"/>
      <c r="O29" s="2"/>
      <c r="P29" s="2"/>
      <c r="Q29" s="2"/>
      <c r="R29" s="2"/>
      <c r="S29" s="2"/>
      <c r="T29" s="2"/>
      <c r="U29" s="2"/>
    </row>
    <row r="30" spans="1:21" x14ac:dyDescent="0.35">
      <c r="A30" s="2"/>
      <c r="B30" s="2"/>
      <c r="C30" s="2"/>
      <c r="D30" s="2"/>
      <c r="E30" s="2"/>
      <c r="F30" s="2"/>
      <c r="G30" s="2"/>
      <c r="H30" s="2"/>
      <c r="I30" s="2"/>
      <c r="J30" s="2"/>
      <c r="K30" s="2"/>
      <c r="L30" s="2"/>
      <c r="M30" s="2"/>
      <c r="N30" s="2"/>
      <c r="O30" s="2"/>
      <c r="P30" s="2"/>
      <c r="Q30" s="2"/>
      <c r="R30" s="2"/>
      <c r="S30" s="2"/>
      <c r="T30" s="2"/>
      <c r="U30" s="2"/>
    </row>
    <row r="31" spans="1:21" x14ac:dyDescent="0.35">
      <c r="A31" s="2"/>
      <c r="B31" s="2"/>
      <c r="C31" s="2"/>
      <c r="D31" s="2"/>
      <c r="E31" s="2"/>
      <c r="F31" s="2"/>
      <c r="G31" s="2"/>
      <c r="H31" s="2"/>
      <c r="I31" s="2"/>
      <c r="J31" s="2"/>
      <c r="K31" s="2"/>
      <c r="L31" s="2"/>
      <c r="M31" s="2"/>
      <c r="N31" s="2"/>
      <c r="O31" s="2"/>
      <c r="P31" s="2"/>
      <c r="Q31" s="2"/>
      <c r="R31" s="2"/>
      <c r="S31" s="2"/>
      <c r="T31" s="2"/>
      <c r="U31" s="2"/>
    </row>
    <row r="32" spans="1:21" x14ac:dyDescent="0.35">
      <c r="A32" s="2"/>
      <c r="B32" s="2"/>
      <c r="C32" s="2"/>
      <c r="D32" s="2"/>
      <c r="E32" s="2"/>
      <c r="F32" s="2"/>
      <c r="G32" s="2"/>
      <c r="H32" s="2"/>
      <c r="I32" s="2"/>
      <c r="J32" s="2"/>
      <c r="K32" s="2"/>
      <c r="L32" s="2"/>
      <c r="M32" s="2"/>
      <c r="N32" s="2"/>
      <c r="O32" s="2"/>
      <c r="P32" s="2"/>
      <c r="Q32" s="2"/>
      <c r="R32" s="2"/>
      <c r="S32" s="2"/>
      <c r="T32" s="2"/>
      <c r="U32" s="2"/>
    </row>
    <row r="33" spans="1:21" x14ac:dyDescent="0.35">
      <c r="A33" s="2"/>
      <c r="B33" s="2"/>
      <c r="C33" s="2"/>
      <c r="D33" s="2"/>
      <c r="E33" s="2"/>
      <c r="F33" s="2"/>
      <c r="G33" s="2"/>
      <c r="H33" s="2"/>
      <c r="I33" s="2"/>
      <c r="J33" s="2"/>
      <c r="K33" s="2"/>
      <c r="L33" s="2"/>
      <c r="M33" s="2"/>
      <c r="N33" s="2"/>
      <c r="O33" s="2"/>
      <c r="P33" s="2"/>
      <c r="Q33" s="2"/>
      <c r="R33" s="2"/>
      <c r="S33" s="2"/>
      <c r="T33" s="2"/>
      <c r="U33" s="2"/>
    </row>
    <row r="34" spans="1:21" x14ac:dyDescent="0.35">
      <c r="A34" s="2"/>
      <c r="B34" s="2"/>
      <c r="C34" s="2"/>
      <c r="D34" s="2"/>
      <c r="E34" s="2"/>
      <c r="F34" s="2"/>
      <c r="G34" s="2"/>
      <c r="H34" s="2"/>
      <c r="I34" s="2"/>
      <c r="J34" s="2"/>
      <c r="K34" s="2"/>
      <c r="L34" s="2"/>
      <c r="M34" s="2"/>
      <c r="N34" s="2"/>
      <c r="O34" s="2"/>
      <c r="P34" s="2"/>
      <c r="Q34" s="2"/>
      <c r="R34" s="2"/>
      <c r="S34" s="2"/>
      <c r="T34" s="2"/>
      <c r="U34" s="2"/>
    </row>
    <row r="35" spans="1:21" x14ac:dyDescent="0.35">
      <c r="A35" s="2"/>
      <c r="B35" s="2"/>
      <c r="C35" s="2"/>
      <c r="D35" s="2"/>
      <c r="E35" s="2"/>
      <c r="F35" s="2"/>
      <c r="G35" s="2"/>
      <c r="H35" s="2"/>
      <c r="I35" s="2"/>
      <c r="J35" s="2"/>
      <c r="K35" s="2"/>
      <c r="L35" s="2"/>
      <c r="M35" s="2"/>
      <c r="N35" s="2"/>
      <c r="O35" s="2"/>
      <c r="P35" s="2"/>
      <c r="Q35" s="2"/>
      <c r="R35" s="2"/>
      <c r="S35" s="2"/>
      <c r="T35" s="2"/>
      <c r="U35" s="2"/>
    </row>
    <row r="36" spans="1:21" x14ac:dyDescent="0.35">
      <c r="A36" s="2"/>
      <c r="B36" s="2"/>
      <c r="C36" s="2"/>
      <c r="D36" s="2"/>
      <c r="E36" s="2"/>
      <c r="F36" s="2"/>
      <c r="G36" s="2"/>
      <c r="H36" s="2"/>
      <c r="I36" s="2"/>
      <c r="J36" s="2"/>
      <c r="K36" s="2"/>
      <c r="L36" s="2"/>
      <c r="M36" s="2"/>
      <c r="N36" s="2"/>
      <c r="O36" s="2"/>
      <c r="P36" s="2"/>
      <c r="Q36" s="2"/>
      <c r="R36" s="2"/>
      <c r="S36" s="2"/>
      <c r="T36" s="2"/>
      <c r="U36" s="2"/>
    </row>
    <row r="37" spans="1:21" x14ac:dyDescent="0.35">
      <c r="A37" s="2"/>
      <c r="B37" s="2"/>
      <c r="C37" s="2"/>
      <c r="D37" s="2"/>
      <c r="E37" s="2"/>
      <c r="F37" s="2"/>
      <c r="G37" s="2"/>
      <c r="H37" s="2"/>
      <c r="I37" s="2"/>
      <c r="J37" s="2"/>
      <c r="K37" s="2"/>
      <c r="L37" s="2"/>
      <c r="M37" s="2"/>
      <c r="N37" s="2"/>
      <c r="O37" s="2"/>
      <c r="P37" s="2"/>
      <c r="Q37" s="2"/>
      <c r="R37" s="2"/>
      <c r="S37" s="2"/>
      <c r="T37" s="2"/>
      <c r="U37" s="2"/>
    </row>
  </sheetData>
  <pageMargins left="0.7" right="0.7" top="0.75" bottom="0.75" header="0.3" footer="0.3"/>
  <pageSetup scale="49" fitToWidth="0" fitToHeight="0"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1:N2113"/>
  <sheetViews>
    <sheetView zoomScale="42" workbookViewId="0"/>
  </sheetViews>
  <sheetFormatPr defaultRowHeight="14.5" x14ac:dyDescent="0.35"/>
  <cols>
    <col min="1" max="1" width="10.08984375" bestFit="1" customWidth="1"/>
    <col min="2" max="4" width="10.08984375" customWidth="1"/>
    <col min="5" max="5" width="10.08984375" bestFit="1" customWidth="1"/>
    <col min="6" max="6" width="15.90625" bestFit="1" customWidth="1"/>
    <col min="7" max="7" width="8.453125" customWidth="1"/>
    <col min="8" max="8" width="17.36328125" customWidth="1"/>
    <col min="9" max="9" width="9.7265625" bestFit="1" customWidth="1"/>
    <col min="10" max="10" width="20.90625" bestFit="1" customWidth="1"/>
    <col min="11" max="11" width="11.1796875" customWidth="1"/>
    <col min="12" max="12" width="13.6328125" customWidth="1"/>
    <col min="13" max="13" width="12.7265625" customWidth="1"/>
    <col min="14" max="14" width="11.1796875" bestFit="1" customWidth="1"/>
  </cols>
  <sheetData>
    <row r="1" spans="5:14" x14ac:dyDescent="0.35">
      <c r="E1" s="1" t="s">
        <v>0</v>
      </c>
      <c r="F1" s="1" t="s">
        <v>1</v>
      </c>
      <c r="G1" s="1" t="s">
        <v>2</v>
      </c>
      <c r="H1" s="1" t="s">
        <v>3</v>
      </c>
      <c r="I1" s="1" t="s">
        <v>4</v>
      </c>
      <c r="J1" s="1" t="s">
        <v>5</v>
      </c>
      <c r="K1" s="1" t="s">
        <v>6</v>
      </c>
      <c r="L1" s="1" t="s">
        <v>7</v>
      </c>
      <c r="M1" s="1" t="s">
        <v>8</v>
      </c>
      <c r="N1" s="1" t="s">
        <v>9</v>
      </c>
    </row>
    <row r="2" spans="5:14" x14ac:dyDescent="0.35">
      <c r="E2" t="s">
        <v>10</v>
      </c>
      <c r="F2" t="s">
        <v>11</v>
      </c>
      <c r="G2" t="s">
        <v>12</v>
      </c>
      <c r="H2" t="s">
        <v>13</v>
      </c>
      <c r="I2" t="s">
        <v>14</v>
      </c>
      <c r="J2" t="s">
        <v>15</v>
      </c>
      <c r="K2">
        <v>8231</v>
      </c>
      <c r="L2">
        <v>10</v>
      </c>
      <c r="M2">
        <v>82310</v>
      </c>
      <c r="N2" t="s">
        <v>16</v>
      </c>
    </row>
    <row r="3" spans="5:14" x14ac:dyDescent="0.35">
      <c r="E3" t="s">
        <v>10</v>
      </c>
      <c r="F3" t="s">
        <v>11</v>
      </c>
      <c r="G3" t="s">
        <v>12</v>
      </c>
      <c r="H3" t="s">
        <v>13</v>
      </c>
      <c r="I3" t="s">
        <v>14</v>
      </c>
      <c r="J3" t="s">
        <v>17</v>
      </c>
      <c r="K3">
        <v>12998</v>
      </c>
      <c r="L3">
        <v>20</v>
      </c>
      <c r="M3">
        <v>259960</v>
      </c>
      <c r="N3" t="s">
        <v>18</v>
      </c>
    </row>
    <row r="4" spans="5:14" x14ac:dyDescent="0.35">
      <c r="E4" t="s">
        <v>10</v>
      </c>
      <c r="F4" t="s">
        <v>11</v>
      </c>
      <c r="G4" t="s">
        <v>12</v>
      </c>
      <c r="H4" t="s">
        <v>13</v>
      </c>
      <c r="I4" t="s">
        <v>14</v>
      </c>
      <c r="J4" t="s">
        <v>19</v>
      </c>
      <c r="K4">
        <v>12355</v>
      </c>
      <c r="L4">
        <v>30</v>
      </c>
      <c r="M4">
        <v>370650</v>
      </c>
      <c r="N4" t="s">
        <v>18</v>
      </c>
    </row>
    <row r="5" spans="5:14" x14ac:dyDescent="0.35">
      <c r="E5" t="s">
        <v>10</v>
      </c>
      <c r="F5" t="s">
        <v>11</v>
      </c>
      <c r="G5" t="s">
        <v>12</v>
      </c>
      <c r="H5" t="s">
        <v>13</v>
      </c>
      <c r="I5" t="s">
        <v>14</v>
      </c>
      <c r="J5" t="s">
        <v>20</v>
      </c>
      <c r="K5">
        <v>13885</v>
      </c>
      <c r="L5">
        <v>15</v>
      </c>
      <c r="M5">
        <v>208275</v>
      </c>
      <c r="N5" t="s">
        <v>21</v>
      </c>
    </row>
    <row r="6" spans="5:14" x14ac:dyDescent="0.35">
      <c r="E6" t="s">
        <v>10</v>
      </c>
      <c r="F6" t="s">
        <v>11</v>
      </c>
      <c r="G6" t="s">
        <v>12</v>
      </c>
      <c r="H6" t="s">
        <v>22</v>
      </c>
      <c r="I6" t="s">
        <v>23</v>
      </c>
      <c r="J6" t="s">
        <v>24</v>
      </c>
      <c r="K6">
        <v>6966</v>
      </c>
      <c r="L6">
        <v>2</v>
      </c>
      <c r="M6">
        <v>13932</v>
      </c>
      <c r="N6" t="s">
        <v>21</v>
      </c>
    </row>
    <row r="7" spans="5:14" x14ac:dyDescent="0.35">
      <c r="E7" t="s">
        <v>10</v>
      </c>
      <c r="F7" t="s">
        <v>11</v>
      </c>
      <c r="G7" t="s">
        <v>12</v>
      </c>
      <c r="H7" t="s">
        <v>22</v>
      </c>
      <c r="I7" t="s">
        <v>23</v>
      </c>
      <c r="J7" t="s">
        <v>25</v>
      </c>
      <c r="K7">
        <v>14797</v>
      </c>
      <c r="L7">
        <v>2</v>
      </c>
      <c r="M7">
        <v>29594</v>
      </c>
      <c r="N7" t="s">
        <v>18</v>
      </c>
    </row>
    <row r="8" spans="5:14" x14ac:dyDescent="0.35">
      <c r="E8" t="s">
        <v>10</v>
      </c>
      <c r="F8" t="s">
        <v>11</v>
      </c>
      <c r="G8" t="s">
        <v>12</v>
      </c>
      <c r="H8" t="s">
        <v>22</v>
      </c>
      <c r="I8" t="s">
        <v>23</v>
      </c>
      <c r="J8" t="s">
        <v>26</v>
      </c>
      <c r="K8">
        <v>7555</v>
      </c>
      <c r="L8">
        <v>5</v>
      </c>
      <c r="M8">
        <v>37775</v>
      </c>
      <c r="N8" t="s">
        <v>16</v>
      </c>
    </row>
    <row r="9" spans="5:14" x14ac:dyDescent="0.35">
      <c r="E9" t="s">
        <v>10</v>
      </c>
      <c r="F9" t="s">
        <v>11</v>
      </c>
      <c r="G9" t="s">
        <v>12</v>
      </c>
      <c r="H9" t="s">
        <v>22</v>
      </c>
      <c r="I9" t="s">
        <v>27</v>
      </c>
      <c r="J9" t="s">
        <v>28</v>
      </c>
      <c r="K9">
        <v>12185</v>
      </c>
      <c r="L9">
        <v>3</v>
      </c>
      <c r="M9">
        <v>36555</v>
      </c>
      <c r="N9" t="s">
        <v>16</v>
      </c>
    </row>
    <row r="10" spans="5:14" x14ac:dyDescent="0.35">
      <c r="E10" t="s">
        <v>10</v>
      </c>
      <c r="F10" t="s">
        <v>29</v>
      </c>
      <c r="G10" t="s">
        <v>12</v>
      </c>
      <c r="H10" t="s">
        <v>13</v>
      </c>
      <c r="I10" t="s">
        <v>14</v>
      </c>
      <c r="J10" t="s">
        <v>15</v>
      </c>
      <c r="K10">
        <v>8798</v>
      </c>
      <c r="L10">
        <v>10</v>
      </c>
      <c r="M10">
        <v>87980</v>
      </c>
      <c r="N10" t="s">
        <v>21</v>
      </c>
    </row>
    <row r="11" spans="5:14" x14ac:dyDescent="0.35">
      <c r="E11" t="s">
        <v>10</v>
      </c>
      <c r="F11" t="s">
        <v>29</v>
      </c>
      <c r="G11" t="s">
        <v>12</v>
      </c>
      <c r="H11" t="s">
        <v>13</v>
      </c>
      <c r="I11" t="s">
        <v>14</v>
      </c>
      <c r="J11" t="s">
        <v>17</v>
      </c>
      <c r="K11">
        <v>13338</v>
      </c>
      <c r="L11">
        <v>20</v>
      </c>
      <c r="M11">
        <v>266760</v>
      </c>
      <c r="N11" t="s">
        <v>18</v>
      </c>
    </row>
    <row r="12" spans="5:14" x14ac:dyDescent="0.35">
      <c r="E12" t="s">
        <v>10</v>
      </c>
      <c r="F12" t="s">
        <v>29</v>
      </c>
      <c r="G12" t="s">
        <v>12</v>
      </c>
      <c r="H12" t="s">
        <v>13</v>
      </c>
      <c r="I12" t="s">
        <v>14</v>
      </c>
      <c r="J12" t="s">
        <v>19</v>
      </c>
      <c r="K12">
        <v>12159</v>
      </c>
      <c r="L12">
        <v>30</v>
      </c>
      <c r="M12">
        <v>364770</v>
      </c>
      <c r="N12" t="s">
        <v>21</v>
      </c>
    </row>
    <row r="13" spans="5:14" x14ac:dyDescent="0.35">
      <c r="E13" t="s">
        <v>10</v>
      </c>
      <c r="F13" t="s">
        <v>29</v>
      </c>
      <c r="G13" t="s">
        <v>12</v>
      </c>
      <c r="H13" t="s">
        <v>13</v>
      </c>
      <c r="I13" t="s">
        <v>14</v>
      </c>
      <c r="J13" t="s">
        <v>20</v>
      </c>
      <c r="K13">
        <v>10592</v>
      </c>
      <c r="L13">
        <v>15</v>
      </c>
      <c r="M13">
        <v>158880</v>
      </c>
      <c r="N13" t="s">
        <v>21</v>
      </c>
    </row>
    <row r="14" spans="5:14" x14ac:dyDescent="0.35">
      <c r="E14" t="s">
        <v>10</v>
      </c>
      <c r="F14" t="s">
        <v>29</v>
      </c>
      <c r="G14" t="s">
        <v>12</v>
      </c>
      <c r="H14" t="s">
        <v>22</v>
      </c>
      <c r="I14" t="s">
        <v>23</v>
      </c>
      <c r="J14" t="s">
        <v>24</v>
      </c>
      <c r="K14">
        <v>8371</v>
      </c>
      <c r="L14">
        <v>2</v>
      </c>
      <c r="M14">
        <v>16742</v>
      </c>
      <c r="N14" t="s">
        <v>18</v>
      </c>
    </row>
    <row r="15" spans="5:14" x14ac:dyDescent="0.35">
      <c r="E15" t="s">
        <v>10</v>
      </c>
      <c r="F15" t="s">
        <v>29</v>
      </c>
      <c r="G15" t="s">
        <v>12</v>
      </c>
      <c r="H15" t="s">
        <v>22</v>
      </c>
      <c r="I15" t="s">
        <v>23</v>
      </c>
      <c r="J15" t="s">
        <v>25</v>
      </c>
      <c r="K15">
        <v>10365</v>
      </c>
      <c r="L15">
        <v>2</v>
      </c>
      <c r="M15">
        <v>20730</v>
      </c>
      <c r="N15" t="s">
        <v>21</v>
      </c>
    </row>
    <row r="16" spans="5:14" x14ac:dyDescent="0.35">
      <c r="E16" t="s">
        <v>10</v>
      </c>
      <c r="F16" t="s">
        <v>29</v>
      </c>
      <c r="G16" t="s">
        <v>12</v>
      </c>
      <c r="H16" t="s">
        <v>22</v>
      </c>
      <c r="I16" t="s">
        <v>23</v>
      </c>
      <c r="J16" t="s">
        <v>26</v>
      </c>
      <c r="K16">
        <v>7759</v>
      </c>
      <c r="L16">
        <v>5</v>
      </c>
      <c r="M16">
        <v>38795</v>
      </c>
      <c r="N16" t="s">
        <v>18</v>
      </c>
    </row>
    <row r="17" spans="5:14" x14ac:dyDescent="0.35">
      <c r="E17" t="s">
        <v>10</v>
      </c>
      <c r="F17" t="s">
        <v>29</v>
      </c>
      <c r="G17" t="s">
        <v>12</v>
      </c>
      <c r="H17" t="s">
        <v>22</v>
      </c>
      <c r="I17" t="s">
        <v>27</v>
      </c>
      <c r="J17" t="s">
        <v>28</v>
      </c>
      <c r="K17">
        <v>14875</v>
      </c>
      <c r="L17">
        <v>3</v>
      </c>
      <c r="M17">
        <v>44625</v>
      </c>
      <c r="N17" t="s">
        <v>18</v>
      </c>
    </row>
    <row r="18" spans="5:14" x14ac:dyDescent="0.35">
      <c r="E18" t="s">
        <v>10</v>
      </c>
      <c r="F18" t="s">
        <v>30</v>
      </c>
      <c r="G18" t="s">
        <v>12</v>
      </c>
      <c r="H18" t="s">
        <v>13</v>
      </c>
      <c r="I18" t="s">
        <v>14</v>
      </c>
      <c r="J18" t="s">
        <v>15</v>
      </c>
      <c r="K18">
        <v>5991</v>
      </c>
      <c r="L18">
        <v>10</v>
      </c>
      <c r="M18">
        <v>59910</v>
      </c>
      <c r="N18" t="s">
        <v>16</v>
      </c>
    </row>
    <row r="19" spans="5:14" x14ac:dyDescent="0.35">
      <c r="E19" t="s">
        <v>10</v>
      </c>
      <c r="F19" t="s">
        <v>30</v>
      </c>
      <c r="G19" t="s">
        <v>12</v>
      </c>
      <c r="H19" t="s">
        <v>13</v>
      </c>
      <c r="I19" t="s">
        <v>14</v>
      </c>
      <c r="J19" t="s">
        <v>17</v>
      </c>
      <c r="K19">
        <v>12895</v>
      </c>
      <c r="L19">
        <v>20</v>
      </c>
      <c r="M19">
        <v>257900</v>
      </c>
      <c r="N19" t="s">
        <v>21</v>
      </c>
    </row>
    <row r="20" spans="5:14" x14ac:dyDescent="0.35">
      <c r="E20" t="s">
        <v>10</v>
      </c>
      <c r="F20" t="s">
        <v>30</v>
      </c>
      <c r="G20" t="s">
        <v>12</v>
      </c>
      <c r="H20" t="s">
        <v>13</v>
      </c>
      <c r="I20" t="s">
        <v>14</v>
      </c>
      <c r="J20" t="s">
        <v>19</v>
      </c>
      <c r="K20">
        <v>6439</v>
      </c>
      <c r="L20">
        <v>30</v>
      </c>
      <c r="M20">
        <v>193170</v>
      </c>
      <c r="N20" t="s">
        <v>18</v>
      </c>
    </row>
    <row r="21" spans="5:14" x14ac:dyDescent="0.35">
      <c r="E21" t="s">
        <v>10</v>
      </c>
      <c r="F21" t="s">
        <v>30</v>
      </c>
      <c r="G21" t="s">
        <v>12</v>
      </c>
      <c r="H21" t="s">
        <v>13</v>
      </c>
      <c r="I21" t="s">
        <v>14</v>
      </c>
      <c r="J21" t="s">
        <v>20</v>
      </c>
      <c r="K21">
        <v>9909</v>
      </c>
      <c r="L21">
        <v>15</v>
      </c>
      <c r="M21">
        <v>148635</v>
      </c>
      <c r="N21" t="s">
        <v>16</v>
      </c>
    </row>
    <row r="22" spans="5:14" x14ac:dyDescent="0.35">
      <c r="E22" t="s">
        <v>10</v>
      </c>
      <c r="F22" t="s">
        <v>30</v>
      </c>
      <c r="G22" t="s">
        <v>12</v>
      </c>
      <c r="H22" t="s">
        <v>22</v>
      </c>
      <c r="I22" t="s">
        <v>23</v>
      </c>
      <c r="J22" t="s">
        <v>24</v>
      </c>
      <c r="K22">
        <v>11270</v>
      </c>
      <c r="L22">
        <v>2</v>
      </c>
      <c r="M22">
        <v>22540</v>
      </c>
      <c r="N22" t="s">
        <v>18</v>
      </c>
    </row>
    <row r="23" spans="5:14" x14ac:dyDescent="0.35">
      <c r="E23" t="s">
        <v>10</v>
      </c>
      <c r="F23" t="s">
        <v>30</v>
      </c>
      <c r="G23" t="s">
        <v>12</v>
      </c>
      <c r="H23" t="s">
        <v>22</v>
      </c>
      <c r="I23" t="s">
        <v>23</v>
      </c>
      <c r="J23" t="s">
        <v>25</v>
      </c>
      <c r="K23">
        <v>14271</v>
      </c>
      <c r="L23">
        <v>2</v>
      </c>
      <c r="M23">
        <v>28542</v>
      </c>
      <c r="N23" t="s">
        <v>18</v>
      </c>
    </row>
    <row r="24" spans="5:14" x14ac:dyDescent="0.35">
      <c r="E24" t="s">
        <v>10</v>
      </c>
      <c r="F24" t="s">
        <v>30</v>
      </c>
      <c r="G24" t="s">
        <v>12</v>
      </c>
      <c r="H24" t="s">
        <v>22</v>
      </c>
      <c r="I24" t="s">
        <v>23</v>
      </c>
      <c r="J24" t="s">
        <v>26</v>
      </c>
      <c r="K24">
        <v>6270</v>
      </c>
      <c r="L24">
        <v>5</v>
      </c>
      <c r="M24">
        <v>31350</v>
      </c>
      <c r="N24" t="s">
        <v>18</v>
      </c>
    </row>
    <row r="25" spans="5:14" x14ac:dyDescent="0.35">
      <c r="E25" t="s">
        <v>10</v>
      </c>
      <c r="F25" t="s">
        <v>30</v>
      </c>
      <c r="G25" t="s">
        <v>12</v>
      </c>
      <c r="H25" t="s">
        <v>22</v>
      </c>
      <c r="I25" t="s">
        <v>27</v>
      </c>
      <c r="J25" t="s">
        <v>28</v>
      </c>
      <c r="K25">
        <v>7006</v>
      </c>
      <c r="L25">
        <v>3</v>
      </c>
      <c r="M25">
        <v>21018</v>
      </c>
      <c r="N25" t="s">
        <v>21</v>
      </c>
    </row>
    <row r="26" spans="5:14" x14ac:dyDescent="0.35">
      <c r="E26" t="s">
        <v>10</v>
      </c>
      <c r="F26" t="s">
        <v>31</v>
      </c>
      <c r="G26" t="s">
        <v>12</v>
      </c>
      <c r="H26" t="s">
        <v>13</v>
      </c>
      <c r="I26" t="s">
        <v>14</v>
      </c>
      <c r="J26" t="s">
        <v>15</v>
      </c>
      <c r="K26">
        <v>14578</v>
      </c>
      <c r="L26">
        <v>10</v>
      </c>
      <c r="M26">
        <v>145780</v>
      </c>
      <c r="N26" t="s">
        <v>21</v>
      </c>
    </row>
    <row r="27" spans="5:14" x14ac:dyDescent="0.35">
      <c r="E27" t="s">
        <v>10</v>
      </c>
      <c r="F27" t="s">
        <v>31</v>
      </c>
      <c r="G27" t="s">
        <v>12</v>
      </c>
      <c r="H27" t="s">
        <v>13</v>
      </c>
      <c r="I27" t="s">
        <v>14</v>
      </c>
      <c r="J27" t="s">
        <v>17</v>
      </c>
      <c r="K27">
        <v>10537</v>
      </c>
      <c r="L27">
        <v>20</v>
      </c>
      <c r="M27">
        <v>210740</v>
      </c>
      <c r="N27" t="s">
        <v>16</v>
      </c>
    </row>
    <row r="28" spans="5:14" x14ac:dyDescent="0.35">
      <c r="E28" t="s">
        <v>10</v>
      </c>
      <c r="F28" t="s">
        <v>31</v>
      </c>
      <c r="G28" t="s">
        <v>12</v>
      </c>
      <c r="H28" t="s">
        <v>13</v>
      </c>
      <c r="I28" t="s">
        <v>14</v>
      </c>
      <c r="J28" t="s">
        <v>19</v>
      </c>
      <c r="K28">
        <v>5709</v>
      </c>
      <c r="L28">
        <v>30</v>
      </c>
      <c r="M28">
        <v>171270</v>
      </c>
      <c r="N28" t="s">
        <v>18</v>
      </c>
    </row>
    <row r="29" spans="5:14" x14ac:dyDescent="0.35">
      <c r="E29" t="s">
        <v>10</v>
      </c>
      <c r="F29" t="s">
        <v>31</v>
      </c>
      <c r="G29" t="s">
        <v>12</v>
      </c>
      <c r="H29" t="s">
        <v>13</v>
      </c>
      <c r="I29" t="s">
        <v>14</v>
      </c>
      <c r="J29" t="s">
        <v>20</v>
      </c>
      <c r="K29">
        <v>5276</v>
      </c>
      <c r="L29">
        <v>15</v>
      </c>
      <c r="M29">
        <v>79140</v>
      </c>
      <c r="N29" t="s">
        <v>16</v>
      </c>
    </row>
    <row r="30" spans="5:14" x14ac:dyDescent="0.35">
      <c r="E30" t="s">
        <v>10</v>
      </c>
      <c r="F30" t="s">
        <v>31</v>
      </c>
      <c r="G30" t="s">
        <v>12</v>
      </c>
      <c r="H30" t="s">
        <v>22</v>
      </c>
      <c r="I30" t="s">
        <v>23</v>
      </c>
      <c r="J30" t="s">
        <v>24</v>
      </c>
      <c r="K30">
        <v>9398</v>
      </c>
      <c r="L30">
        <v>2</v>
      </c>
      <c r="M30">
        <v>18796</v>
      </c>
      <c r="N30" t="s">
        <v>16</v>
      </c>
    </row>
    <row r="31" spans="5:14" x14ac:dyDescent="0.35">
      <c r="E31" t="s">
        <v>10</v>
      </c>
      <c r="F31" t="s">
        <v>31</v>
      </c>
      <c r="G31" t="s">
        <v>12</v>
      </c>
      <c r="H31" t="s">
        <v>22</v>
      </c>
      <c r="I31" t="s">
        <v>23</v>
      </c>
      <c r="J31" t="s">
        <v>25</v>
      </c>
      <c r="K31">
        <v>5950</v>
      </c>
      <c r="L31">
        <v>2</v>
      </c>
      <c r="M31">
        <v>11900</v>
      </c>
      <c r="N31" t="s">
        <v>16</v>
      </c>
    </row>
    <row r="32" spans="5:14" x14ac:dyDescent="0.35">
      <c r="E32" t="s">
        <v>10</v>
      </c>
      <c r="F32" t="s">
        <v>31</v>
      </c>
      <c r="G32" t="s">
        <v>12</v>
      </c>
      <c r="H32" t="s">
        <v>22</v>
      </c>
      <c r="I32" t="s">
        <v>23</v>
      </c>
      <c r="J32" t="s">
        <v>26</v>
      </c>
      <c r="K32">
        <v>9262</v>
      </c>
      <c r="L32">
        <v>5</v>
      </c>
      <c r="M32">
        <v>46310</v>
      </c>
      <c r="N32" t="s">
        <v>21</v>
      </c>
    </row>
    <row r="33" spans="5:14" x14ac:dyDescent="0.35">
      <c r="E33" t="s">
        <v>10</v>
      </c>
      <c r="F33" t="s">
        <v>31</v>
      </c>
      <c r="G33" t="s">
        <v>12</v>
      </c>
      <c r="H33" t="s">
        <v>22</v>
      </c>
      <c r="I33" t="s">
        <v>27</v>
      </c>
      <c r="J33" t="s">
        <v>28</v>
      </c>
      <c r="K33">
        <v>12777</v>
      </c>
      <c r="L33">
        <v>3</v>
      </c>
      <c r="M33">
        <v>38331</v>
      </c>
      <c r="N33" t="s">
        <v>16</v>
      </c>
    </row>
    <row r="34" spans="5:14" x14ac:dyDescent="0.35">
      <c r="E34" t="s">
        <v>10</v>
      </c>
      <c r="F34" t="s">
        <v>32</v>
      </c>
      <c r="G34" t="s">
        <v>12</v>
      </c>
      <c r="H34" t="s">
        <v>13</v>
      </c>
      <c r="I34" t="s">
        <v>14</v>
      </c>
      <c r="J34" t="s">
        <v>15</v>
      </c>
      <c r="K34">
        <v>12145</v>
      </c>
      <c r="L34">
        <v>10</v>
      </c>
      <c r="M34">
        <v>121450</v>
      </c>
      <c r="N34" t="s">
        <v>18</v>
      </c>
    </row>
    <row r="35" spans="5:14" x14ac:dyDescent="0.35">
      <c r="E35" t="s">
        <v>10</v>
      </c>
      <c r="F35" t="s">
        <v>32</v>
      </c>
      <c r="G35" t="s">
        <v>12</v>
      </c>
      <c r="H35" t="s">
        <v>13</v>
      </c>
      <c r="I35" t="s">
        <v>14</v>
      </c>
      <c r="J35" t="s">
        <v>17</v>
      </c>
      <c r="K35">
        <v>8661</v>
      </c>
      <c r="L35">
        <v>20</v>
      </c>
      <c r="M35">
        <v>173220</v>
      </c>
      <c r="N35" t="s">
        <v>16</v>
      </c>
    </row>
    <row r="36" spans="5:14" x14ac:dyDescent="0.35">
      <c r="E36" t="s">
        <v>10</v>
      </c>
      <c r="F36" t="s">
        <v>32</v>
      </c>
      <c r="G36" t="s">
        <v>12</v>
      </c>
      <c r="H36" t="s">
        <v>13</v>
      </c>
      <c r="I36" t="s">
        <v>14</v>
      </c>
      <c r="J36" t="s">
        <v>19</v>
      </c>
      <c r="K36">
        <v>13456</v>
      </c>
      <c r="L36">
        <v>30</v>
      </c>
      <c r="M36">
        <v>403680</v>
      </c>
      <c r="N36" t="s">
        <v>18</v>
      </c>
    </row>
    <row r="37" spans="5:14" x14ac:dyDescent="0.35">
      <c r="E37" t="s">
        <v>10</v>
      </c>
      <c r="F37" t="s">
        <v>32</v>
      </c>
      <c r="G37" t="s">
        <v>12</v>
      </c>
      <c r="H37" t="s">
        <v>13</v>
      </c>
      <c r="I37" t="s">
        <v>14</v>
      </c>
      <c r="J37" t="s">
        <v>20</v>
      </c>
      <c r="K37">
        <v>6160</v>
      </c>
      <c r="L37">
        <v>15</v>
      </c>
      <c r="M37">
        <v>92400</v>
      </c>
      <c r="N37" t="s">
        <v>18</v>
      </c>
    </row>
    <row r="38" spans="5:14" x14ac:dyDescent="0.35">
      <c r="E38" t="s">
        <v>10</v>
      </c>
      <c r="F38" t="s">
        <v>32</v>
      </c>
      <c r="G38" t="s">
        <v>12</v>
      </c>
      <c r="H38" t="s">
        <v>22</v>
      </c>
      <c r="I38" t="s">
        <v>23</v>
      </c>
      <c r="J38" t="s">
        <v>24</v>
      </c>
      <c r="K38">
        <v>7493</v>
      </c>
      <c r="L38">
        <v>2</v>
      </c>
      <c r="M38">
        <v>14986</v>
      </c>
      <c r="N38" t="s">
        <v>21</v>
      </c>
    </row>
    <row r="39" spans="5:14" x14ac:dyDescent="0.35">
      <c r="E39" t="s">
        <v>10</v>
      </c>
      <c r="F39" t="s">
        <v>32</v>
      </c>
      <c r="G39" t="s">
        <v>12</v>
      </c>
      <c r="H39" t="s">
        <v>22</v>
      </c>
      <c r="I39" t="s">
        <v>23</v>
      </c>
      <c r="J39" t="s">
        <v>25</v>
      </c>
      <c r="K39">
        <v>6592</v>
      </c>
      <c r="L39">
        <v>2</v>
      </c>
      <c r="M39">
        <v>13184</v>
      </c>
      <c r="N39" t="s">
        <v>21</v>
      </c>
    </row>
    <row r="40" spans="5:14" x14ac:dyDescent="0.35">
      <c r="E40" t="s">
        <v>10</v>
      </c>
      <c r="F40" t="s">
        <v>32</v>
      </c>
      <c r="G40" t="s">
        <v>12</v>
      </c>
      <c r="H40" t="s">
        <v>22</v>
      </c>
      <c r="I40" t="s">
        <v>23</v>
      </c>
      <c r="J40" t="s">
        <v>26</v>
      </c>
      <c r="K40">
        <v>5993</v>
      </c>
      <c r="L40">
        <v>5</v>
      </c>
      <c r="M40">
        <v>29965</v>
      </c>
      <c r="N40" t="s">
        <v>21</v>
      </c>
    </row>
    <row r="41" spans="5:14" x14ac:dyDescent="0.35">
      <c r="E41" t="s">
        <v>10</v>
      </c>
      <c r="F41" t="s">
        <v>32</v>
      </c>
      <c r="G41" t="s">
        <v>12</v>
      </c>
      <c r="H41" t="s">
        <v>22</v>
      </c>
      <c r="I41" t="s">
        <v>27</v>
      </c>
      <c r="J41" t="s">
        <v>28</v>
      </c>
      <c r="K41">
        <v>5764</v>
      </c>
      <c r="L41">
        <v>3</v>
      </c>
      <c r="M41">
        <v>17292</v>
      </c>
      <c r="N41" t="s">
        <v>18</v>
      </c>
    </row>
    <row r="42" spans="5:14" x14ac:dyDescent="0.35">
      <c r="E42" t="s">
        <v>10</v>
      </c>
      <c r="F42" t="s">
        <v>33</v>
      </c>
      <c r="G42" t="s">
        <v>12</v>
      </c>
      <c r="H42" t="s">
        <v>13</v>
      </c>
      <c r="I42" t="s">
        <v>14</v>
      </c>
      <c r="J42" t="s">
        <v>15</v>
      </c>
      <c r="K42">
        <v>12566</v>
      </c>
      <c r="L42">
        <v>10</v>
      </c>
      <c r="M42">
        <v>125660</v>
      </c>
      <c r="N42" t="s">
        <v>21</v>
      </c>
    </row>
    <row r="43" spans="5:14" x14ac:dyDescent="0.35">
      <c r="E43" t="s">
        <v>10</v>
      </c>
      <c r="F43" t="s">
        <v>33</v>
      </c>
      <c r="G43" t="s">
        <v>12</v>
      </c>
      <c r="H43" t="s">
        <v>13</v>
      </c>
      <c r="I43" t="s">
        <v>14</v>
      </c>
      <c r="J43" t="s">
        <v>17</v>
      </c>
      <c r="K43">
        <v>13933</v>
      </c>
      <c r="L43">
        <v>20</v>
      </c>
      <c r="M43">
        <v>278660</v>
      </c>
      <c r="N43" t="s">
        <v>21</v>
      </c>
    </row>
    <row r="44" spans="5:14" x14ac:dyDescent="0.35">
      <c r="E44" t="s">
        <v>10</v>
      </c>
      <c r="F44" t="s">
        <v>33</v>
      </c>
      <c r="G44" t="s">
        <v>12</v>
      </c>
      <c r="H44" t="s">
        <v>13</v>
      </c>
      <c r="I44" t="s">
        <v>14</v>
      </c>
      <c r="J44" t="s">
        <v>19</v>
      </c>
      <c r="K44">
        <v>7777</v>
      </c>
      <c r="L44">
        <v>30</v>
      </c>
      <c r="M44">
        <v>233310</v>
      </c>
      <c r="N44" t="s">
        <v>21</v>
      </c>
    </row>
    <row r="45" spans="5:14" x14ac:dyDescent="0.35">
      <c r="E45" t="s">
        <v>10</v>
      </c>
      <c r="F45" t="s">
        <v>33</v>
      </c>
      <c r="G45" t="s">
        <v>12</v>
      </c>
      <c r="H45" t="s">
        <v>13</v>
      </c>
      <c r="I45" t="s">
        <v>14</v>
      </c>
      <c r="J45" t="s">
        <v>20</v>
      </c>
      <c r="K45">
        <v>14923</v>
      </c>
      <c r="L45">
        <v>15</v>
      </c>
      <c r="M45">
        <v>223845</v>
      </c>
      <c r="N45" t="s">
        <v>21</v>
      </c>
    </row>
    <row r="46" spans="5:14" x14ac:dyDescent="0.35">
      <c r="E46" t="s">
        <v>10</v>
      </c>
      <c r="F46" t="s">
        <v>33</v>
      </c>
      <c r="G46" t="s">
        <v>12</v>
      </c>
      <c r="H46" t="s">
        <v>22</v>
      </c>
      <c r="I46" t="s">
        <v>23</v>
      </c>
      <c r="J46" t="s">
        <v>24</v>
      </c>
      <c r="K46">
        <v>7592</v>
      </c>
      <c r="L46">
        <v>2</v>
      </c>
      <c r="M46">
        <v>15184</v>
      </c>
      <c r="N46" t="s">
        <v>16</v>
      </c>
    </row>
    <row r="47" spans="5:14" x14ac:dyDescent="0.35">
      <c r="E47" t="s">
        <v>10</v>
      </c>
      <c r="F47" t="s">
        <v>33</v>
      </c>
      <c r="G47" t="s">
        <v>12</v>
      </c>
      <c r="H47" t="s">
        <v>22</v>
      </c>
      <c r="I47" t="s">
        <v>23</v>
      </c>
      <c r="J47" t="s">
        <v>25</v>
      </c>
      <c r="K47">
        <v>6659</v>
      </c>
      <c r="L47">
        <v>2</v>
      </c>
      <c r="M47">
        <v>13318</v>
      </c>
      <c r="N47" t="s">
        <v>21</v>
      </c>
    </row>
    <row r="48" spans="5:14" x14ac:dyDescent="0.35">
      <c r="E48" t="s">
        <v>10</v>
      </c>
      <c r="F48" t="s">
        <v>33</v>
      </c>
      <c r="G48" t="s">
        <v>12</v>
      </c>
      <c r="H48" t="s">
        <v>22</v>
      </c>
      <c r="I48" t="s">
        <v>23</v>
      </c>
      <c r="J48" t="s">
        <v>26</v>
      </c>
      <c r="K48">
        <v>6829</v>
      </c>
      <c r="L48">
        <v>5</v>
      </c>
      <c r="M48">
        <v>34145</v>
      </c>
      <c r="N48" t="s">
        <v>18</v>
      </c>
    </row>
    <row r="49" spans="5:14" x14ac:dyDescent="0.35">
      <c r="E49" t="s">
        <v>10</v>
      </c>
      <c r="F49" t="s">
        <v>33</v>
      </c>
      <c r="G49" t="s">
        <v>12</v>
      </c>
      <c r="H49" t="s">
        <v>22</v>
      </c>
      <c r="I49" t="s">
        <v>27</v>
      </c>
      <c r="J49" t="s">
        <v>28</v>
      </c>
      <c r="K49">
        <v>13153</v>
      </c>
      <c r="L49">
        <v>3</v>
      </c>
      <c r="M49">
        <v>39459</v>
      </c>
      <c r="N49" t="s">
        <v>18</v>
      </c>
    </row>
    <row r="50" spans="5:14" x14ac:dyDescent="0.35">
      <c r="E50" t="s">
        <v>10</v>
      </c>
      <c r="F50" t="s">
        <v>34</v>
      </c>
      <c r="G50" t="s">
        <v>12</v>
      </c>
      <c r="H50" t="s">
        <v>13</v>
      </c>
      <c r="I50" t="s">
        <v>14</v>
      </c>
      <c r="J50" t="s">
        <v>15</v>
      </c>
      <c r="K50">
        <v>8116</v>
      </c>
      <c r="L50">
        <v>10</v>
      </c>
      <c r="M50">
        <v>81160</v>
      </c>
      <c r="N50" t="s">
        <v>16</v>
      </c>
    </row>
    <row r="51" spans="5:14" x14ac:dyDescent="0.35">
      <c r="E51" t="s">
        <v>10</v>
      </c>
      <c r="F51" t="s">
        <v>34</v>
      </c>
      <c r="G51" t="s">
        <v>12</v>
      </c>
      <c r="H51" t="s">
        <v>13</v>
      </c>
      <c r="I51" t="s">
        <v>14</v>
      </c>
      <c r="J51" t="s">
        <v>17</v>
      </c>
      <c r="K51">
        <v>9876</v>
      </c>
      <c r="L51">
        <v>20</v>
      </c>
      <c r="M51">
        <v>197520</v>
      </c>
      <c r="N51" t="s">
        <v>16</v>
      </c>
    </row>
    <row r="52" spans="5:14" x14ac:dyDescent="0.35">
      <c r="E52" t="s">
        <v>10</v>
      </c>
      <c r="F52" t="s">
        <v>34</v>
      </c>
      <c r="G52" t="s">
        <v>12</v>
      </c>
      <c r="H52" t="s">
        <v>13</v>
      </c>
      <c r="I52" t="s">
        <v>14</v>
      </c>
      <c r="J52" t="s">
        <v>19</v>
      </c>
      <c r="K52">
        <v>12669</v>
      </c>
      <c r="L52">
        <v>30</v>
      </c>
      <c r="M52">
        <v>380070</v>
      </c>
      <c r="N52" t="s">
        <v>21</v>
      </c>
    </row>
    <row r="53" spans="5:14" x14ac:dyDescent="0.35">
      <c r="E53" t="s">
        <v>10</v>
      </c>
      <c r="F53" t="s">
        <v>34</v>
      </c>
      <c r="G53" t="s">
        <v>12</v>
      </c>
      <c r="H53" t="s">
        <v>13</v>
      </c>
      <c r="I53" t="s">
        <v>14</v>
      </c>
      <c r="J53" t="s">
        <v>20</v>
      </c>
      <c r="K53">
        <v>8943</v>
      </c>
      <c r="L53">
        <v>15</v>
      </c>
      <c r="M53">
        <v>134145</v>
      </c>
      <c r="N53" t="s">
        <v>21</v>
      </c>
    </row>
    <row r="54" spans="5:14" x14ac:dyDescent="0.35">
      <c r="E54" t="s">
        <v>10</v>
      </c>
      <c r="F54" t="s">
        <v>34</v>
      </c>
      <c r="G54" t="s">
        <v>12</v>
      </c>
      <c r="H54" t="s">
        <v>22</v>
      </c>
      <c r="I54" t="s">
        <v>23</v>
      </c>
      <c r="J54" t="s">
        <v>24</v>
      </c>
      <c r="K54">
        <v>14936</v>
      </c>
      <c r="L54">
        <v>2</v>
      </c>
      <c r="M54">
        <v>29872</v>
      </c>
      <c r="N54" t="s">
        <v>21</v>
      </c>
    </row>
    <row r="55" spans="5:14" x14ac:dyDescent="0.35">
      <c r="E55" t="s">
        <v>10</v>
      </c>
      <c r="F55" t="s">
        <v>34</v>
      </c>
      <c r="G55" t="s">
        <v>12</v>
      </c>
      <c r="H55" t="s">
        <v>22</v>
      </c>
      <c r="I55" t="s">
        <v>23</v>
      </c>
      <c r="J55" t="s">
        <v>25</v>
      </c>
      <c r="K55">
        <v>6108</v>
      </c>
      <c r="L55">
        <v>2</v>
      </c>
      <c r="M55">
        <v>12216</v>
      </c>
      <c r="N55" t="s">
        <v>16</v>
      </c>
    </row>
    <row r="56" spans="5:14" x14ac:dyDescent="0.35">
      <c r="E56" t="s">
        <v>10</v>
      </c>
      <c r="F56" t="s">
        <v>34</v>
      </c>
      <c r="G56" t="s">
        <v>12</v>
      </c>
      <c r="H56" t="s">
        <v>22</v>
      </c>
      <c r="I56" t="s">
        <v>23</v>
      </c>
      <c r="J56" t="s">
        <v>26</v>
      </c>
      <c r="K56">
        <v>12492</v>
      </c>
      <c r="L56">
        <v>5</v>
      </c>
      <c r="M56">
        <v>62460</v>
      </c>
      <c r="N56" t="s">
        <v>21</v>
      </c>
    </row>
    <row r="57" spans="5:14" x14ac:dyDescent="0.35">
      <c r="E57" t="s">
        <v>10</v>
      </c>
      <c r="F57" t="s">
        <v>34</v>
      </c>
      <c r="G57" t="s">
        <v>12</v>
      </c>
      <c r="H57" t="s">
        <v>22</v>
      </c>
      <c r="I57" t="s">
        <v>27</v>
      </c>
      <c r="J57" t="s">
        <v>28</v>
      </c>
      <c r="K57">
        <v>14613</v>
      </c>
      <c r="L57">
        <v>3</v>
      </c>
      <c r="M57">
        <v>43839</v>
      </c>
      <c r="N57" t="s">
        <v>21</v>
      </c>
    </row>
    <row r="58" spans="5:14" x14ac:dyDescent="0.35">
      <c r="E58" t="s">
        <v>10</v>
      </c>
      <c r="F58" t="s">
        <v>35</v>
      </c>
      <c r="G58" t="s">
        <v>36</v>
      </c>
      <c r="H58" t="s">
        <v>13</v>
      </c>
      <c r="I58" t="s">
        <v>14</v>
      </c>
      <c r="J58" t="s">
        <v>15</v>
      </c>
      <c r="K58">
        <v>10866</v>
      </c>
      <c r="L58">
        <v>10</v>
      </c>
      <c r="M58">
        <v>108660</v>
      </c>
      <c r="N58" t="s">
        <v>18</v>
      </c>
    </row>
    <row r="59" spans="5:14" x14ac:dyDescent="0.35">
      <c r="E59" t="s">
        <v>10</v>
      </c>
      <c r="F59" t="s">
        <v>35</v>
      </c>
      <c r="G59" t="s">
        <v>36</v>
      </c>
      <c r="H59" t="s">
        <v>13</v>
      </c>
      <c r="I59" t="s">
        <v>14</v>
      </c>
      <c r="J59" t="s">
        <v>17</v>
      </c>
      <c r="K59">
        <v>5262</v>
      </c>
      <c r="L59">
        <v>20</v>
      </c>
      <c r="M59">
        <v>105240</v>
      </c>
      <c r="N59" t="s">
        <v>18</v>
      </c>
    </row>
    <row r="60" spans="5:14" x14ac:dyDescent="0.35">
      <c r="E60" t="s">
        <v>10</v>
      </c>
      <c r="F60" t="s">
        <v>35</v>
      </c>
      <c r="G60" t="s">
        <v>36</v>
      </c>
      <c r="H60" t="s">
        <v>13</v>
      </c>
      <c r="I60" t="s">
        <v>14</v>
      </c>
      <c r="J60" t="s">
        <v>19</v>
      </c>
      <c r="K60">
        <v>14765</v>
      </c>
      <c r="L60">
        <v>30</v>
      </c>
      <c r="M60">
        <v>442950</v>
      </c>
      <c r="N60" t="s">
        <v>18</v>
      </c>
    </row>
    <row r="61" spans="5:14" x14ac:dyDescent="0.35">
      <c r="E61" t="s">
        <v>10</v>
      </c>
      <c r="F61" t="s">
        <v>35</v>
      </c>
      <c r="G61" t="s">
        <v>36</v>
      </c>
      <c r="H61" t="s">
        <v>13</v>
      </c>
      <c r="I61" t="s">
        <v>14</v>
      </c>
      <c r="J61" t="s">
        <v>20</v>
      </c>
      <c r="K61">
        <v>13842</v>
      </c>
      <c r="L61">
        <v>15</v>
      </c>
      <c r="M61">
        <v>207630</v>
      </c>
      <c r="N61" t="s">
        <v>18</v>
      </c>
    </row>
    <row r="62" spans="5:14" x14ac:dyDescent="0.35">
      <c r="E62" t="s">
        <v>10</v>
      </c>
      <c r="F62" t="s">
        <v>35</v>
      </c>
      <c r="G62" t="s">
        <v>36</v>
      </c>
      <c r="H62" t="s">
        <v>22</v>
      </c>
      <c r="I62" t="s">
        <v>23</v>
      </c>
      <c r="J62" t="s">
        <v>24</v>
      </c>
      <c r="K62">
        <v>12999</v>
      </c>
      <c r="L62">
        <v>2</v>
      </c>
      <c r="M62">
        <v>25998</v>
      </c>
      <c r="N62" t="s">
        <v>18</v>
      </c>
    </row>
    <row r="63" spans="5:14" x14ac:dyDescent="0.35">
      <c r="E63" t="s">
        <v>10</v>
      </c>
      <c r="F63" t="s">
        <v>35</v>
      </c>
      <c r="G63" t="s">
        <v>36</v>
      </c>
      <c r="H63" t="s">
        <v>22</v>
      </c>
      <c r="I63" t="s">
        <v>23</v>
      </c>
      <c r="J63" t="s">
        <v>25</v>
      </c>
      <c r="K63">
        <v>9079</v>
      </c>
      <c r="L63">
        <v>2</v>
      </c>
      <c r="M63">
        <v>18158</v>
      </c>
      <c r="N63" t="s">
        <v>21</v>
      </c>
    </row>
    <row r="64" spans="5:14" x14ac:dyDescent="0.35">
      <c r="E64" t="s">
        <v>10</v>
      </c>
      <c r="F64" t="s">
        <v>35</v>
      </c>
      <c r="G64" t="s">
        <v>36</v>
      </c>
      <c r="H64" t="s">
        <v>22</v>
      </c>
      <c r="I64" t="s">
        <v>23</v>
      </c>
      <c r="J64" t="s">
        <v>26</v>
      </c>
      <c r="K64">
        <v>14802</v>
      </c>
      <c r="L64">
        <v>5</v>
      </c>
      <c r="M64">
        <v>74010</v>
      </c>
      <c r="N64" t="s">
        <v>16</v>
      </c>
    </row>
    <row r="65" spans="5:14" x14ac:dyDescent="0.35">
      <c r="E65" t="s">
        <v>10</v>
      </c>
      <c r="F65" t="s">
        <v>35</v>
      </c>
      <c r="G65" t="s">
        <v>36</v>
      </c>
      <c r="H65" t="s">
        <v>22</v>
      </c>
      <c r="I65" t="s">
        <v>27</v>
      </c>
      <c r="J65" t="s">
        <v>28</v>
      </c>
      <c r="K65">
        <v>7012</v>
      </c>
      <c r="L65">
        <v>3</v>
      </c>
      <c r="M65">
        <v>21036</v>
      </c>
      <c r="N65" t="s">
        <v>16</v>
      </c>
    </row>
    <row r="66" spans="5:14" x14ac:dyDescent="0.35">
      <c r="E66" t="s">
        <v>10</v>
      </c>
      <c r="F66" t="s">
        <v>37</v>
      </c>
      <c r="G66" t="s">
        <v>36</v>
      </c>
      <c r="H66" t="s">
        <v>13</v>
      </c>
      <c r="I66" t="s">
        <v>14</v>
      </c>
      <c r="J66" t="s">
        <v>15</v>
      </c>
      <c r="K66">
        <v>14253</v>
      </c>
      <c r="L66">
        <v>10</v>
      </c>
      <c r="M66">
        <v>142530</v>
      </c>
      <c r="N66" t="s">
        <v>21</v>
      </c>
    </row>
    <row r="67" spans="5:14" x14ac:dyDescent="0.35">
      <c r="E67" t="s">
        <v>10</v>
      </c>
      <c r="F67" t="s">
        <v>37</v>
      </c>
      <c r="G67" t="s">
        <v>36</v>
      </c>
      <c r="H67" t="s">
        <v>13</v>
      </c>
      <c r="I67" t="s">
        <v>14</v>
      </c>
      <c r="J67" t="s">
        <v>17</v>
      </c>
      <c r="K67">
        <v>11286</v>
      </c>
      <c r="L67">
        <v>20</v>
      </c>
      <c r="M67">
        <v>225720</v>
      </c>
      <c r="N67" t="s">
        <v>16</v>
      </c>
    </row>
    <row r="68" spans="5:14" x14ac:dyDescent="0.35">
      <c r="E68" t="s">
        <v>10</v>
      </c>
      <c r="F68" t="s">
        <v>37</v>
      </c>
      <c r="G68" t="s">
        <v>36</v>
      </c>
      <c r="H68" t="s">
        <v>13</v>
      </c>
      <c r="I68" t="s">
        <v>14</v>
      </c>
      <c r="J68" t="s">
        <v>19</v>
      </c>
      <c r="K68">
        <v>5471</v>
      </c>
      <c r="L68">
        <v>30</v>
      </c>
      <c r="M68">
        <v>164130</v>
      </c>
      <c r="N68" t="s">
        <v>16</v>
      </c>
    </row>
    <row r="69" spans="5:14" x14ac:dyDescent="0.35">
      <c r="E69" t="s">
        <v>10</v>
      </c>
      <c r="F69" t="s">
        <v>37</v>
      </c>
      <c r="G69" t="s">
        <v>36</v>
      </c>
      <c r="H69" t="s">
        <v>13</v>
      </c>
      <c r="I69" t="s">
        <v>14</v>
      </c>
      <c r="J69" t="s">
        <v>20</v>
      </c>
      <c r="K69">
        <v>7764</v>
      </c>
      <c r="L69">
        <v>15</v>
      </c>
      <c r="M69">
        <v>116460</v>
      </c>
      <c r="N69" t="s">
        <v>21</v>
      </c>
    </row>
    <row r="70" spans="5:14" x14ac:dyDescent="0.35">
      <c r="E70" t="s">
        <v>10</v>
      </c>
      <c r="F70" t="s">
        <v>37</v>
      </c>
      <c r="G70" t="s">
        <v>36</v>
      </c>
      <c r="H70" t="s">
        <v>22</v>
      </c>
      <c r="I70" t="s">
        <v>23</v>
      </c>
      <c r="J70" t="s">
        <v>24</v>
      </c>
      <c r="K70">
        <v>5424</v>
      </c>
      <c r="L70">
        <v>2</v>
      </c>
      <c r="M70">
        <v>10848</v>
      </c>
      <c r="N70" t="s">
        <v>21</v>
      </c>
    </row>
    <row r="71" spans="5:14" x14ac:dyDescent="0.35">
      <c r="E71" t="s">
        <v>10</v>
      </c>
      <c r="F71" t="s">
        <v>37</v>
      </c>
      <c r="G71" t="s">
        <v>36</v>
      </c>
      <c r="H71" t="s">
        <v>22</v>
      </c>
      <c r="I71" t="s">
        <v>23</v>
      </c>
      <c r="J71" t="s">
        <v>25</v>
      </c>
      <c r="K71">
        <v>13304</v>
      </c>
      <c r="L71">
        <v>2</v>
      </c>
      <c r="M71">
        <v>26608</v>
      </c>
      <c r="N71" t="s">
        <v>18</v>
      </c>
    </row>
    <row r="72" spans="5:14" x14ac:dyDescent="0.35">
      <c r="E72" t="s">
        <v>10</v>
      </c>
      <c r="F72" t="s">
        <v>37</v>
      </c>
      <c r="G72" t="s">
        <v>36</v>
      </c>
      <c r="H72" t="s">
        <v>22</v>
      </c>
      <c r="I72" t="s">
        <v>23</v>
      </c>
      <c r="J72" t="s">
        <v>26</v>
      </c>
      <c r="K72">
        <v>11858</v>
      </c>
      <c r="L72">
        <v>5</v>
      </c>
      <c r="M72">
        <v>59290</v>
      </c>
      <c r="N72" t="s">
        <v>18</v>
      </c>
    </row>
    <row r="73" spans="5:14" x14ac:dyDescent="0.35">
      <c r="E73" t="s">
        <v>10</v>
      </c>
      <c r="F73" t="s">
        <v>37</v>
      </c>
      <c r="G73" t="s">
        <v>36</v>
      </c>
      <c r="H73" t="s">
        <v>22</v>
      </c>
      <c r="I73" t="s">
        <v>27</v>
      </c>
      <c r="J73" t="s">
        <v>28</v>
      </c>
      <c r="K73">
        <v>14159</v>
      </c>
      <c r="L73">
        <v>3</v>
      </c>
      <c r="M73">
        <v>42477</v>
      </c>
      <c r="N73" t="s">
        <v>16</v>
      </c>
    </row>
    <row r="74" spans="5:14" x14ac:dyDescent="0.35">
      <c r="E74" t="s">
        <v>10</v>
      </c>
      <c r="F74" t="s">
        <v>38</v>
      </c>
      <c r="G74" t="s">
        <v>36</v>
      </c>
      <c r="H74" t="s">
        <v>13</v>
      </c>
      <c r="I74" t="s">
        <v>14</v>
      </c>
      <c r="J74" t="s">
        <v>15</v>
      </c>
      <c r="K74">
        <v>10249</v>
      </c>
      <c r="L74">
        <v>10</v>
      </c>
      <c r="M74">
        <v>102490</v>
      </c>
      <c r="N74" t="s">
        <v>16</v>
      </c>
    </row>
    <row r="75" spans="5:14" x14ac:dyDescent="0.35">
      <c r="E75" t="s">
        <v>10</v>
      </c>
      <c r="F75" t="s">
        <v>38</v>
      </c>
      <c r="G75" t="s">
        <v>36</v>
      </c>
      <c r="H75" t="s">
        <v>13</v>
      </c>
      <c r="I75" t="s">
        <v>14</v>
      </c>
      <c r="J75" t="s">
        <v>17</v>
      </c>
      <c r="K75">
        <v>13045</v>
      </c>
      <c r="L75">
        <v>20</v>
      </c>
      <c r="M75">
        <v>260900</v>
      </c>
      <c r="N75" t="s">
        <v>16</v>
      </c>
    </row>
    <row r="76" spans="5:14" x14ac:dyDescent="0.35">
      <c r="E76" t="s">
        <v>10</v>
      </c>
      <c r="F76" t="s">
        <v>38</v>
      </c>
      <c r="G76" t="s">
        <v>36</v>
      </c>
      <c r="H76" t="s">
        <v>13</v>
      </c>
      <c r="I76" t="s">
        <v>14</v>
      </c>
      <c r="J76" t="s">
        <v>19</v>
      </c>
      <c r="K76">
        <v>6101</v>
      </c>
      <c r="L76">
        <v>30</v>
      </c>
      <c r="M76">
        <v>183030</v>
      </c>
      <c r="N76" t="s">
        <v>21</v>
      </c>
    </row>
    <row r="77" spans="5:14" x14ac:dyDescent="0.35">
      <c r="E77" t="s">
        <v>10</v>
      </c>
      <c r="F77" t="s">
        <v>38</v>
      </c>
      <c r="G77" t="s">
        <v>36</v>
      </c>
      <c r="H77" t="s">
        <v>13</v>
      </c>
      <c r="I77" t="s">
        <v>14</v>
      </c>
      <c r="J77" t="s">
        <v>20</v>
      </c>
      <c r="K77">
        <v>9774</v>
      </c>
      <c r="L77">
        <v>15</v>
      </c>
      <c r="M77">
        <v>146610</v>
      </c>
      <c r="N77" t="s">
        <v>18</v>
      </c>
    </row>
    <row r="78" spans="5:14" x14ac:dyDescent="0.35">
      <c r="E78" t="s">
        <v>10</v>
      </c>
      <c r="F78" t="s">
        <v>38</v>
      </c>
      <c r="G78" t="s">
        <v>36</v>
      </c>
      <c r="H78" t="s">
        <v>22</v>
      </c>
      <c r="I78" t="s">
        <v>23</v>
      </c>
      <c r="J78" t="s">
        <v>24</v>
      </c>
      <c r="K78">
        <v>8332</v>
      </c>
      <c r="L78">
        <v>2</v>
      </c>
      <c r="M78">
        <v>16664</v>
      </c>
      <c r="N78" t="s">
        <v>18</v>
      </c>
    </row>
    <row r="79" spans="5:14" x14ac:dyDescent="0.35">
      <c r="E79" t="s">
        <v>10</v>
      </c>
      <c r="F79" t="s">
        <v>38</v>
      </c>
      <c r="G79" t="s">
        <v>36</v>
      </c>
      <c r="H79" t="s">
        <v>22</v>
      </c>
      <c r="I79" t="s">
        <v>23</v>
      </c>
      <c r="J79" t="s">
        <v>25</v>
      </c>
      <c r="K79">
        <v>5611</v>
      </c>
      <c r="L79">
        <v>2</v>
      </c>
      <c r="M79">
        <v>11222</v>
      </c>
      <c r="N79" t="s">
        <v>16</v>
      </c>
    </row>
    <row r="80" spans="5:14" x14ac:dyDescent="0.35">
      <c r="E80" t="s">
        <v>10</v>
      </c>
      <c r="F80" t="s">
        <v>38</v>
      </c>
      <c r="G80" t="s">
        <v>36</v>
      </c>
      <c r="H80" t="s">
        <v>22</v>
      </c>
      <c r="I80" t="s">
        <v>23</v>
      </c>
      <c r="J80" t="s">
        <v>26</v>
      </c>
      <c r="K80">
        <v>12565</v>
      </c>
      <c r="L80">
        <v>5</v>
      </c>
      <c r="M80">
        <v>62825</v>
      </c>
      <c r="N80" t="s">
        <v>16</v>
      </c>
    </row>
    <row r="81" spans="5:14" x14ac:dyDescent="0.35">
      <c r="E81" t="s">
        <v>10</v>
      </c>
      <c r="F81" t="s">
        <v>38</v>
      </c>
      <c r="G81" t="s">
        <v>36</v>
      </c>
      <c r="H81" t="s">
        <v>22</v>
      </c>
      <c r="I81" t="s">
        <v>27</v>
      </c>
      <c r="J81" t="s">
        <v>28</v>
      </c>
      <c r="K81">
        <v>6294</v>
      </c>
      <c r="L81">
        <v>3</v>
      </c>
      <c r="M81">
        <v>18882</v>
      </c>
      <c r="N81" t="s">
        <v>18</v>
      </c>
    </row>
    <row r="82" spans="5:14" x14ac:dyDescent="0.35">
      <c r="E82" t="s">
        <v>10</v>
      </c>
      <c r="F82" t="s">
        <v>39</v>
      </c>
      <c r="G82" t="s">
        <v>36</v>
      </c>
      <c r="H82" t="s">
        <v>13</v>
      </c>
      <c r="I82" t="s">
        <v>14</v>
      </c>
      <c r="J82" t="s">
        <v>15</v>
      </c>
      <c r="K82">
        <v>14465</v>
      </c>
      <c r="L82">
        <v>10</v>
      </c>
      <c r="M82">
        <v>144650</v>
      </c>
      <c r="N82" t="s">
        <v>16</v>
      </c>
    </row>
    <row r="83" spans="5:14" x14ac:dyDescent="0.35">
      <c r="E83" t="s">
        <v>10</v>
      </c>
      <c r="F83" t="s">
        <v>39</v>
      </c>
      <c r="G83" t="s">
        <v>36</v>
      </c>
      <c r="H83" t="s">
        <v>13</v>
      </c>
      <c r="I83" t="s">
        <v>14</v>
      </c>
      <c r="J83" t="s">
        <v>17</v>
      </c>
      <c r="K83">
        <v>5773</v>
      </c>
      <c r="L83">
        <v>20</v>
      </c>
      <c r="M83">
        <v>115460</v>
      </c>
      <c r="N83" t="s">
        <v>18</v>
      </c>
    </row>
    <row r="84" spans="5:14" x14ac:dyDescent="0.35">
      <c r="E84" t="s">
        <v>10</v>
      </c>
      <c r="F84" t="s">
        <v>39</v>
      </c>
      <c r="G84" t="s">
        <v>36</v>
      </c>
      <c r="H84" t="s">
        <v>13</v>
      </c>
      <c r="I84" t="s">
        <v>14</v>
      </c>
      <c r="J84" t="s">
        <v>19</v>
      </c>
      <c r="K84">
        <v>14634</v>
      </c>
      <c r="L84">
        <v>30</v>
      </c>
      <c r="M84">
        <v>439020</v>
      </c>
      <c r="N84" t="s">
        <v>18</v>
      </c>
    </row>
    <row r="85" spans="5:14" x14ac:dyDescent="0.35">
      <c r="E85" t="s">
        <v>10</v>
      </c>
      <c r="F85" t="s">
        <v>39</v>
      </c>
      <c r="G85" t="s">
        <v>36</v>
      </c>
      <c r="H85" t="s">
        <v>13</v>
      </c>
      <c r="I85" t="s">
        <v>14</v>
      </c>
      <c r="J85" t="s">
        <v>20</v>
      </c>
      <c r="K85">
        <v>7636</v>
      </c>
      <c r="L85">
        <v>15</v>
      </c>
      <c r="M85">
        <v>114540</v>
      </c>
      <c r="N85" t="s">
        <v>16</v>
      </c>
    </row>
    <row r="86" spans="5:14" x14ac:dyDescent="0.35">
      <c r="E86" t="s">
        <v>10</v>
      </c>
      <c r="F86" t="s">
        <v>39</v>
      </c>
      <c r="G86" t="s">
        <v>36</v>
      </c>
      <c r="H86" t="s">
        <v>22</v>
      </c>
      <c r="I86" t="s">
        <v>23</v>
      </c>
      <c r="J86" t="s">
        <v>24</v>
      </c>
      <c r="K86">
        <v>10706</v>
      </c>
      <c r="L86">
        <v>2</v>
      </c>
      <c r="M86">
        <v>21412</v>
      </c>
      <c r="N86" t="s">
        <v>18</v>
      </c>
    </row>
    <row r="87" spans="5:14" x14ac:dyDescent="0.35">
      <c r="E87" t="s">
        <v>10</v>
      </c>
      <c r="F87" t="s">
        <v>39</v>
      </c>
      <c r="G87" t="s">
        <v>36</v>
      </c>
      <c r="H87" t="s">
        <v>22</v>
      </c>
      <c r="I87" t="s">
        <v>23</v>
      </c>
      <c r="J87" t="s">
        <v>25</v>
      </c>
      <c r="K87">
        <v>14220</v>
      </c>
      <c r="L87">
        <v>2</v>
      </c>
      <c r="M87">
        <v>28440</v>
      </c>
      <c r="N87" t="s">
        <v>18</v>
      </c>
    </row>
    <row r="88" spans="5:14" x14ac:dyDescent="0.35">
      <c r="E88" t="s">
        <v>10</v>
      </c>
      <c r="F88" t="s">
        <v>39</v>
      </c>
      <c r="G88" t="s">
        <v>36</v>
      </c>
      <c r="H88" t="s">
        <v>22</v>
      </c>
      <c r="I88" t="s">
        <v>23</v>
      </c>
      <c r="J88" t="s">
        <v>26</v>
      </c>
      <c r="K88">
        <v>14449</v>
      </c>
      <c r="L88">
        <v>5</v>
      </c>
      <c r="M88">
        <v>72245</v>
      </c>
      <c r="N88" t="s">
        <v>16</v>
      </c>
    </row>
    <row r="89" spans="5:14" x14ac:dyDescent="0.35">
      <c r="E89" t="s">
        <v>10</v>
      </c>
      <c r="F89" t="s">
        <v>39</v>
      </c>
      <c r="G89" t="s">
        <v>36</v>
      </c>
      <c r="H89" t="s">
        <v>22</v>
      </c>
      <c r="I89" t="s">
        <v>27</v>
      </c>
      <c r="J89" t="s">
        <v>28</v>
      </c>
      <c r="K89">
        <v>13044</v>
      </c>
      <c r="L89">
        <v>3</v>
      </c>
      <c r="M89">
        <v>39132</v>
      </c>
      <c r="N89" t="s">
        <v>21</v>
      </c>
    </row>
    <row r="90" spans="5:14" x14ac:dyDescent="0.35">
      <c r="E90" t="s">
        <v>10</v>
      </c>
      <c r="F90" t="s">
        <v>40</v>
      </c>
      <c r="G90" t="s">
        <v>36</v>
      </c>
      <c r="H90" t="s">
        <v>13</v>
      </c>
      <c r="I90" t="s">
        <v>14</v>
      </c>
      <c r="J90" t="s">
        <v>15</v>
      </c>
      <c r="K90">
        <v>7333</v>
      </c>
      <c r="L90">
        <v>10</v>
      </c>
      <c r="M90">
        <v>73330</v>
      </c>
      <c r="N90" t="s">
        <v>21</v>
      </c>
    </row>
    <row r="91" spans="5:14" x14ac:dyDescent="0.35">
      <c r="E91" t="s">
        <v>10</v>
      </c>
      <c r="F91" t="s">
        <v>40</v>
      </c>
      <c r="G91" t="s">
        <v>36</v>
      </c>
      <c r="H91" t="s">
        <v>13</v>
      </c>
      <c r="I91" t="s">
        <v>14</v>
      </c>
      <c r="J91" t="s">
        <v>17</v>
      </c>
      <c r="K91">
        <v>12058</v>
      </c>
      <c r="L91">
        <v>20</v>
      </c>
      <c r="M91">
        <v>241160</v>
      </c>
      <c r="N91" t="s">
        <v>21</v>
      </c>
    </row>
    <row r="92" spans="5:14" x14ac:dyDescent="0.35">
      <c r="E92" t="s">
        <v>10</v>
      </c>
      <c r="F92" t="s">
        <v>40</v>
      </c>
      <c r="G92" t="s">
        <v>36</v>
      </c>
      <c r="H92" t="s">
        <v>13</v>
      </c>
      <c r="I92" t="s">
        <v>14</v>
      </c>
      <c r="J92" t="s">
        <v>19</v>
      </c>
      <c r="K92">
        <v>9489</v>
      </c>
      <c r="L92">
        <v>30</v>
      </c>
      <c r="M92">
        <v>284670</v>
      </c>
      <c r="N92" t="s">
        <v>16</v>
      </c>
    </row>
    <row r="93" spans="5:14" x14ac:dyDescent="0.35">
      <c r="E93" t="s">
        <v>10</v>
      </c>
      <c r="F93" t="s">
        <v>40</v>
      </c>
      <c r="G93" t="s">
        <v>36</v>
      </c>
      <c r="H93" t="s">
        <v>13</v>
      </c>
      <c r="I93" t="s">
        <v>14</v>
      </c>
      <c r="J93" t="s">
        <v>20</v>
      </c>
      <c r="K93">
        <v>11236</v>
      </c>
      <c r="L93">
        <v>15</v>
      </c>
      <c r="M93">
        <v>168540</v>
      </c>
      <c r="N93" t="s">
        <v>18</v>
      </c>
    </row>
    <row r="94" spans="5:14" x14ac:dyDescent="0.35">
      <c r="E94" t="s">
        <v>10</v>
      </c>
      <c r="F94" t="s">
        <v>40</v>
      </c>
      <c r="G94" t="s">
        <v>36</v>
      </c>
      <c r="H94" t="s">
        <v>22</v>
      </c>
      <c r="I94" t="s">
        <v>23</v>
      </c>
      <c r="J94" t="s">
        <v>24</v>
      </c>
      <c r="K94">
        <v>10388</v>
      </c>
      <c r="L94">
        <v>2</v>
      </c>
      <c r="M94">
        <v>20776</v>
      </c>
      <c r="N94" t="s">
        <v>21</v>
      </c>
    </row>
    <row r="95" spans="5:14" x14ac:dyDescent="0.35">
      <c r="E95" t="s">
        <v>10</v>
      </c>
      <c r="F95" t="s">
        <v>40</v>
      </c>
      <c r="G95" t="s">
        <v>36</v>
      </c>
      <c r="H95" t="s">
        <v>22</v>
      </c>
      <c r="I95" t="s">
        <v>23</v>
      </c>
      <c r="J95" t="s">
        <v>25</v>
      </c>
      <c r="K95">
        <v>13098</v>
      </c>
      <c r="L95">
        <v>2</v>
      </c>
      <c r="M95">
        <v>26196</v>
      </c>
      <c r="N95" t="s">
        <v>18</v>
      </c>
    </row>
    <row r="96" spans="5:14" x14ac:dyDescent="0.35">
      <c r="E96" t="s">
        <v>10</v>
      </c>
      <c r="F96" t="s">
        <v>40</v>
      </c>
      <c r="G96" t="s">
        <v>36</v>
      </c>
      <c r="H96" t="s">
        <v>22</v>
      </c>
      <c r="I96" t="s">
        <v>23</v>
      </c>
      <c r="J96" t="s">
        <v>26</v>
      </c>
      <c r="K96">
        <v>5168</v>
      </c>
      <c r="L96">
        <v>5</v>
      </c>
      <c r="M96">
        <v>25840</v>
      </c>
      <c r="N96" t="s">
        <v>16</v>
      </c>
    </row>
    <row r="97" spans="5:14" x14ac:dyDescent="0.35">
      <c r="E97" t="s">
        <v>10</v>
      </c>
      <c r="F97" t="s">
        <v>40</v>
      </c>
      <c r="G97" t="s">
        <v>36</v>
      </c>
      <c r="H97" t="s">
        <v>22</v>
      </c>
      <c r="I97" t="s">
        <v>27</v>
      </c>
      <c r="J97" t="s">
        <v>28</v>
      </c>
      <c r="K97">
        <v>12617</v>
      </c>
      <c r="L97">
        <v>3</v>
      </c>
      <c r="M97">
        <v>37851</v>
      </c>
      <c r="N97" t="s">
        <v>16</v>
      </c>
    </row>
    <row r="98" spans="5:14" x14ac:dyDescent="0.35">
      <c r="E98" t="s">
        <v>10</v>
      </c>
      <c r="F98" t="s">
        <v>41</v>
      </c>
      <c r="G98" t="s">
        <v>42</v>
      </c>
      <c r="H98" t="s">
        <v>13</v>
      </c>
      <c r="I98" t="s">
        <v>14</v>
      </c>
      <c r="J98" t="s">
        <v>15</v>
      </c>
      <c r="K98">
        <v>8628</v>
      </c>
      <c r="L98">
        <v>10</v>
      </c>
      <c r="M98">
        <v>86280</v>
      </c>
      <c r="N98" t="s">
        <v>21</v>
      </c>
    </row>
    <row r="99" spans="5:14" x14ac:dyDescent="0.35">
      <c r="E99" t="s">
        <v>10</v>
      </c>
      <c r="F99" t="s">
        <v>41</v>
      </c>
      <c r="G99" t="s">
        <v>42</v>
      </c>
      <c r="H99" t="s">
        <v>13</v>
      </c>
      <c r="I99" t="s">
        <v>14</v>
      </c>
      <c r="J99" t="s">
        <v>17</v>
      </c>
      <c r="K99">
        <v>6526</v>
      </c>
      <c r="L99">
        <v>20</v>
      </c>
      <c r="M99">
        <v>130520</v>
      </c>
      <c r="N99" t="s">
        <v>16</v>
      </c>
    </row>
    <row r="100" spans="5:14" x14ac:dyDescent="0.35">
      <c r="E100" t="s">
        <v>10</v>
      </c>
      <c r="F100" t="s">
        <v>41</v>
      </c>
      <c r="G100" t="s">
        <v>42</v>
      </c>
      <c r="H100" t="s">
        <v>13</v>
      </c>
      <c r="I100" t="s">
        <v>14</v>
      </c>
      <c r="J100" t="s">
        <v>19</v>
      </c>
      <c r="K100">
        <v>13638</v>
      </c>
      <c r="L100">
        <v>30</v>
      </c>
      <c r="M100">
        <v>409140</v>
      </c>
      <c r="N100" t="s">
        <v>16</v>
      </c>
    </row>
    <row r="101" spans="5:14" x14ac:dyDescent="0.35">
      <c r="E101" t="s">
        <v>10</v>
      </c>
      <c r="F101" t="s">
        <v>41</v>
      </c>
      <c r="G101" t="s">
        <v>42</v>
      </c>
      <c r="H101" t="s">
        <v>13</v>
      </c>
      <c r="I101" t="s">
        <v>14</v>
      </c>
      <c r="J101" t="s">
        <v>20</v>
      </c>
      <c r="K101">
        <v>13041</v>
      </c>
      <c r="L101">
        <v>15</v>
      </c>
      <c r="M101">
        <v>195615</v>
      </c>
      <c r="N101" t="s">
        <v>21</v>
      </c>
    </row>
    <row r="102" spans="5:14" x14ac:dyDescent="0.35">
      <c r="E102" t="s">
        <v>10</v>
      </c>
      <c r="F102" t="s">
        <v>41</v>
      </c>
      <c r="G102" t="s">
        <v>42</v>
      </c>
      <c r="H102" t="s">
        <v>22</v>
      </c>
      <c r="I102" t="s">
        <v>23</v>
      </c>
      <c r="J102" t="s">
        <v>24</v>
      </c>
      <c r="K102">
        <v>7809</v>
      </c>
      <c r="L102">
        <v>2</v>
      </c>
      <c r="M102">
        <v>15618</v>
      </c>
      <c r="N102" t="s">
        <v>16</v>
      </c>
    </row>
    <row r="103" spans="5:14" x14ac:dyDescent="0.35">
      <c r="E103" t="s">
        <v>10</v>
      </c>
      <c r="F103" t="s">
        <v>41</v>
      </c>
      <c r="G103" t="s">
        <v>42</v>
      </c>
      <c r="H103" t="s">
        <v>22</v>
      </c>
      <c r="I103" t="s">
        <v>23</v>
      </c>
      <c r="J103" t="s">
        <v>25</v>
      </c>
      <c r="K103">
        <v>6404</v>
      </c>
      <c r="L103">
        <v>2</v>
      </c>
      <c r="M103">
        <v>12808</v>
      </c>
      <c r="N103" t="s">
        <v>21</v>
      </c>
    </row>
    <row r="104" spans="5:14" x14ac:dyDescent="0.35">
      <c r="E104" t="s">
        <v>10</v>
      </c>
      <c r="F104" t="s">
        <v>41</v>
      </c>
      <c r="G104" t="s">
        <v>42</v>
      </c>
      <c r="H104" t="s">
        <v>22</v>
      </c>
      <c r="I104" t="s">
        <v>23</v>
      </c>
      <c r="J104" t="s">
        <v>26</v>
      </c>
      <c r="K104">
        <v>6305</v>
      </c>
      <c r="L104">
        <v>5</v>
      </c>
      <c r="M104">
        <v>31525</v>
      </c>
      <c r="N104" t="s">
        <v>16</v>
      </c>
    </row>
    <row r="105" spans="5:14" x14ac:dyDescent="0.35">
      <c r="E105" t="s">
        <v>10</v>
      </c>
      <c r="F105" t="s">
        <v>41</v>
      </c>
      <c r="G105" t="s">
        <v>42</v>
      </c>
      <c r="H105" t="s">
        <v>22</v>
      </c>
      <c r="I105" t="s">
        <v>27</v>
      </c>
      <c r="J105" t="s">
        <v>28</v>
      </c>
      <c r="K105">
        <v>14358</v>
      </c>
      <c r="L105">
        <v>3</v>
      </c>
      <c r="M105">
        <v>43074</v>
      </c>
      <c r="N105" t="s">
        <v>21</v>
      </c>
    </row>
    <row r="106" spans="5:14" x14ac:dyDescent="0.35">
      <c r="E106" t="s">
        <v>10</v>
      </c>
      <c r="F106" t="s">
        <v>43</v>
      </c>
      <c r="G106" t="s">
        <v>42</v>
      </c>
      <c r="H106" t="s">
        <v>13</v>
      </c>
      <c r="I106" t="s">
        <v>14</v>
      </c>
      <c r="J106" t="s">
        <v>15</v>
      </c>
      <c r="K106">
        <v>14282</v>
      </c>
      <c r="L106">
        <v>10</v>
      </c>
      <c r="M106">
        <v>142820</v>
      </c>
      <c r="N106" t="s">
        <v>21</v>
      </c>
    </row>
    <row r="107" spans="5:14" x14ac:dyDescent="0.35">
      <c r="E107" t="s">
        <v>10</v>
      </c>
      <c r="F107" t="s">
        <v>43</v>
      </c>
      <c r="G107" t="s">
        <v>42</v>
      </c>
      <c r="H107" t="s">
        <v>13</v>
      </c>
      <c r="I107" t="s">
        <v>14</v>
      </c>
      <c r="J107" t="s">
        <v>17</v>
      </c>
      <c r="K107">
        <v>8088</v>
      </c>
      <c r="L107">
        <v>20</v>
      </c>
      <c r="M107">
        <v>161760</v>
      </c>
      <c r="N107" t="s">
        <v>18</v>
      </c>
    </row>
    <row r="108" spans="5:14" x14ac:dyDescent="0.35">
      <c r="E108" t="s">
        <v>10</v>
      </c>
      <c r="F108" t="s">
        <v>43</v>
      </c>
      <c r="G108" t="s">
        <v>42</v>
      </c>
      <c r="H108" t="s">
        <v>13</v>
      </c>
      <c r="I108" t="s">
        <v>14</v>
      </c>
      <c r="J108" t="s">
        <v>19</v>
      </c>
      <c r="K108">
        <v>6766</v>
      </c>
      <c r="L108">
        <v>30</v>
      </c>
      <c r="M108">
        <v>202980</v>
      </c>
      <c r="N108" t="s">
        <v>21</v>
      </c>
    </row>
    <row r="109" spans="5:14" x14ac:dyDescent="0.35">
      <c r="E109" t="s">
        <v>10</v>
      </c>
      <c r="F109" t="s">
        <v>43</v>
      </c>
      <c r="G109" t="s">
        <v>42</v>
      </c>
      <c r="H109" t="s">
        <v>13</v>
      </c>
      <c r="I109" t="s">
        <v>14</v>
      </c>
      <c r="J109" t="s">
        <v>20</v>
      </c>
      <c r="K109">
        <v>14042</v>
      </c>
      <c r="L109">
        <v>15</v>
      </c>
      <c r="M109">
        <v>210630</v>
      </c>
      <c r="N109" t="s">
        <v>18</v>
      </c>
    </row>
    <row r="110" spans="5:14" x14ac:dyDescent="0.35">
      <c r="E110" t="s">
        <v>10</v>
      </c>
      <c r="F110" t="s">
        <v>43</v>
      </c>
      <c r="G110" t="s">
        <v>42</v>
      </c>
      <c r="H110" t="s">
        <v>22</v>
      </c>
      <c r="I110" t="s">
        <v>23</v>
      </c>
      <c r="J110" t="s">
        <v>24</v>
      </c>
      <c r="K110">
        <v>8997</v>
      </c>
      <c r="L110">
        <v>2</v>
      </c>
      <c r="M110">
        <v>17994</v>
      </c>
      <c r="N110" t="s">
        <v>21</v>
      </c>
    </row>
    <row r="111" spans="5:14" x14ac:dyDescent="0.35">
      <c r="E111" t="s">
        <v>10</v>
      </c>
      <c r="F111" t="s">
        <v>43</v>
      </c>
      <c r="G111" t="s">
        <v>42</v>
      </c>
      <c r="H111" t="s">
        <v>22</v>
      </c>
      <c r="I111" t="s">
        <v>23</v>
      </c>
      <c r="J111" t="s">
        <v>25</v>
      </c>
      <c r="K111">
        <v>9551</v>
      </c>
      <c r="L111">
        <v>2</v>
      </c>
      <c r="M111">
        <v>19102</v>
      </c>
      <c r="N111" t="s">
        <v>16</v>
      </c>
    </row>
    <row r="112" spans="5:14" x14ac:dyDescent="0.35">
      <c r="E112" t="s">
        <v>10</v>
      </c>
      <c r="F112" t="s">
        <v>43</v>
      </c>
      <c r="G112" t="s">
        <v>42</v>
      </c>
      <c r="H112" t="s">
        <v>22</v>
      </c>
      <c r="I112" t="s">
        <v>23</v>
      </c>
      <c r="J112" t="s">
        <v>26</v>
      </c>
      <c r="K112">
        <v>6663</v>
      </c>
      <c r="L112">
        <v>5</v>
      </c>
      <c r="M112">
        <v>33315</v>
      </c>
      <c r="N112" t="s">
        <v>16</v>
      </c>
    </row>
    <row r="113" spans="5:14" x14ac:dyDescent="0.35">
      <c r="E113" t="s">
        <v>10</v>
      </c>
      <c r="F113" t="s">
        <v>43</v>
      </c>
      <c r="G113" t="s">
        <v>42</v>
      </c>
      <c r="H113" t="s">
        <v>22</v>
      </c>
      <c r="I113" t="s">
        <v>27</v>
      </c>
      <c r="J113" t="s">
        <v>28</v>
      </c>
      <c r="K113">
        <v>13599</v>
      </c>
      <c r="L113">
        <v>3</v>
      </c>
      <c r="M113">
        <v>40797</v>
      </c>
      <c r="N113" t="s">
        <v>18</v>
      </c>
    </row>
    <row r="114" spans="5:14" x14ac:dyDescent="0.35">
      <c r="E114" t="s">
        <v>10</v>
      </c>
      <c r="F114" t="s">
        <v>44</v>
      </c>
      <c r="G114" t="s">
        <v>42</v>
      </c>
      <c r="H114" t="s">
        <v>13</v>
      </c>
      <c r="I114" t="s">
        <v>14</v>
      </c>
      <c r="J114" t="s">
        <v>15</v>
      </c>
      <c r="K114">
        <v>8693</v>
      </c>
      <c r="L114">
        <v>10</v>
      </c>
      <c r="M114">
        <v>86930</v>
      </c>
      <c r="N114" t="s">
        <v>21</v>
      </c>
    </row>
    <row r="115" spans="5:14" x14ac:dyDescent="0.35">
      <c r="E115" t="s">
        <v>10</v>
      </c>
      <c r="F115" t="s">
        <v>44</v>
      </c>
      <c r="G115" t="s">
        <v>42</v>
      </c>
      <c r="H115" t="s">
        <v>13</v>
      </c>
      <c r="I115" t="s">
        <v>14</v>
      </c>
      <c r="J115" t="s">
        <v>17</v>
      </c>
      <c r="K115">
        <v>11504</v>
      </c>
      <c r="L115">
        <v>20</v>
      </c>
      <c r="M115">
        <v>230080</v>
      </c>
      <c r="N115" t="s">
        <v>18</v>
      </c>
    </row>
    <row r="116" spans="5:14" x14ac:dyDescent="0.35">
      <c r="E116" t="s">
        <v>10</v>
      </c>
      <c r="F116" t="s">
        <v>44</v>
      </c>
      <c r="G116" t="s">
        <v>42</v>
      </c>
      <c r="H116" t="s">
        <v>13</v>
      </c>
      <c r="I116" t="s">
        <v>14</v>
      </c>
      <c r="J116" t="s">
        <v>19</v>
      </c>
      <c r="K116">
        <v>11833</v>
      </c>
      <c r="L116">
        <v>30</v>
      </c>
      <c r="M116">
        <v>354990</v>
      </c>
      <c r="N116" t="s">
        <v>21</v>
      </c>
    </row>
    <row r="117" spans="5:14" x14ac:dyDescent="0.35">
      <c r="E117" t="s">
        <v>10</v>
      </c>
      <c r="F117" t="s">
        <v>44</v>
      </c>
      <c r="G117" t="s">
        <v>42</v>
      </c>
      <c r="H117" t="s">
        <v>13</v>
      </c>
      <c r="I117" t="s">
        <v>14</v>
      </c>
      <c r="J117" t="s">
        <v>20</v>
      </c>
      <c r="K117">
        <v>10041</v>
      </c>
      <c r="L117">
        <v>15</v>
      </c>
      <c r="M117">
        <v>150615</v>
      </c>
      <c r="N117" t="s">
        <v>18</v>
      </c>
    </row>
    <row r="118" spans="5:14" x14ac:dyDescent="0.35">
      <c r="E118" t="s">
        <v>10</v>
      </c>
      <c r="F118" t="s">
        <v>44</v>
      </c>
      <c r="G118" t="s">
        <v>42</v>
      </c>
      <c r="H118" t="s">
        <v>22</v>
      </c>
      <c r="I118" t="s">
        <v>23</v>
      </c>
      <c r="J118" t="s">
        <v>24</v>
      </c>
      <c r="K118">
        <v>7477</v>
      </c>
      <c r="L118">
        <v>2</v>
      </c>
      <c r="M118">
        <v>14954</v>
      </c>
      <c r="N118" t="s">
        <v>18</v>
      </c>
    </row>
    <row r="119" spans="5:14" x14ac:dyDescent="0.35">
      <c r="E119" t="s">
        <v>10</v>
      </c>
      <c r="F119" t="s">
        <v>44</v>
      </c>
      <c r="G119" t="s">
        <v>42</v>
      </c>
      <c r="H119" t="s">
        <v>22</v>
      </c>
      <c r="I119" t="s">
        <v>23</v>
      </c>
      <c r="J119" t="s">
        <v>25</v>
      </c>
      <c r="K119">
        <v>8149</v>
      </c>
      <c r="L119">
        <v>2</v>
      </c>
      <c r="M119">
        <v>16298</v>
      </c>
      <c r="N119" t="s">
        <v>16</v>
      </c>
    </row>
    <row r="120" spans="5:14" x14ac:dyDescent="0.35">
      <c r="E120" t="s">
        <v>10</v>
      </c>
      <c r="F120" t="s">
        <v>44</v>
      </c>
      <c r="G120" t="s">
        <v>42</v>
      </c>
      <c r="H120" t="s">
        <v>22</v>
      </c>
      <c r="I120" t="s">
        <v>23</v>
      </c>
      <c r="J120" t="s">
        <v>26</v>
      </c>
      <c r="K120">
        <v>7556</v>
      </c>
      <c r="L120">
        <v>5</v>
      </c>
      <c r="M120">
        <v>37780</v>
      </c>
      <c r="N120" t="s">
        <v>16</v>
      </c>
    </row>
    <row r="121" spans="5:14" x14ac:dyDescent="0.35">
      <c r="E121" t="s">
        <v>10</v>
      </c>
      <c r="F121" t="s">
        <v>44</v>
      </c>
      <c r="G121" t="s">
        <v>42</v>
      </c>
      <c r="H121" t="s">
        <v>22</v>
      </c>
      <c r="I121" t="s">
        <v>27</v>
      </c>
      <c r="J121" t="s">
        <v>28</v>
      </c>
      <c r="K121">
        <v>7406</v>
      </c>
      <c r="L121">
        <v>3</v>
      </c>
      <c r="M121">
        <v>22218</v>
      </c>
      <c r="N121" t="s">
        <v>16</v>
      </c>
    </row>
    <row r="122" spans="5:14" x14ac:dyDescent="0.35">
      <c r="E122" t="s">
        <v>10</v>
      </c>
      <c r="F122" t="s">
        <v>45</v>
      </c>
      <c r="G122" t="s">
        <v>42</v>
      </c>
      <c r="H122" t="s">
        <v>13</v>
      </c>
      <c r="I122" t="s">
        <v>14</v>
      </c>
      <c r="J122" t="s">
        <v>15</v>
      </c>
      <c r="K122">
        <v>14205</v>
      </c>
      <c r="L122">
        <v>10</v>
      </c>
      <c r="M122">
        <v>142050</v>
      </c>
      <c r="N122" t="s">
        <v>18</v>
      </c>
    </row>
    <row r="123" spans="5:14" x14ac:dyDescent="0.35">
      <c r="E123" t="s">
        <v>10</v>
      </c>
      <c r="F123" t="s">
        <v>45</v>
      </c>
      <c r="G123" t="s">
        <v>42</v>
      </c>
      <c r="H123" t="s">
        <v>13</v>
      </c>
      <c r="I123" t="s">
        <v>14</v>
      </c>
      <c r="J123" t="s">
        <v>17</v>
      </c>
      <c r="K123">
        <v>5007</v>
      </c>
      <c r="L123">
        <v>20</v>
      </c>
      <c r="M123">
        <v>100140</v>
      </c>
      <c r="N123" t="s">
        <v>16</v>
      </c>
    </row>
    <row r="124" spans="5:14" x14ac:dyDescent="0.35">
      <c r="E124" t="s">
        <v>10</v>
      </c>
      <c r="F124" t="s">
        <v>45</v>
      </c>
      <c r="G124" t="s">
        <v>42</v>
      </c>
      <c r="H124" t="s">
        <v>13</v>
      </c>
      <c r="I124" t="s">
        <v>14</v>
      </c>
      <c r="J124" t="s">
        <v>19</v>
      </c>
      <c r="K124">
        <v>5390</v>
      </c>
      <c r="L124">
        <v>30</v>
      </c>
      <c r="M124">
        <v>161700</v>
      </c>
      <c r="N124" t="s">
        <v>21</v>
      </c>
    </row>
    <row r="125" spans="5:14" x14ac:dyDescent="0.35">
      <c r="E125" t="s">
        <v>10</v>
      </c>
      <c r="F125" t="s">
        <v>45</v>
      </c>
      <c r="G125" t="s">
        <v>42</v>
      </c>
      <c r="H125" t="s">
        <v>13</v>
      </c>
      <c r="I125" t="s">
        <v>14</v>
      </c>
      <c r="J125" t="s">
        <v>20</v>
      </c>
      <c r="K125">
        <v>8241</v>
      </c>
      <c r="L125">
        <v>15</v>
      </c>
      <c r="M125">
        <v>123615</v>
      </c>
      <c r="N125" t="s">
        <v>18</v>
      </c>
    </row>
    <row r="126" spans="5:14" x14ac:dyDescent="0.35">
      <c r="E126" t="s">
        <v>10</v>
      </c>
      <c r="F126" t="s">
        <v>45</v>
      </c>
      <c r="G126" t="s">
        <v>42</v>
      </c>
      <c r="H126" t="s">
        <v>22</v>
      </c>
      <c r="I126" t="s">
        <v>23</v>
      </c>
      <c r="J126" t="s">
        <v>24</v>
      </c>
      <c r="K126">
        <v>9799</v>
      </c>
      <c r="L126">
        <v>2</v>
      </c>
      <c r="M126">
        <v>19598</v>
      </c>
      <c r="N126" t="s">
        <v>16</v>
      </c>
    </row>
    <row r="127" spans="5:14" x14ac:dyDescent="0.35">
      <c r="E127" t="s">
        <v>10</v>
      </c>
      <c r="F127" t="s">
        <v>45</v>
      </c>
      <c r="G127" t="s">
        <v>42</v>
      </c>
      <c r="H127" t="s">
        <v>22</v>
      </c>
      <c r="I127" t="s">
        <v>23</v>
      </c>
      <c r="J127" t="s">
        <v>25</v>
      </c>
      <c r="K127">
        <v>12840</v>
      </c>
      <c r="L127">
        <v>2</v>
      </c>
      <c r="M127">
        <v>25680</v>
      </c>
      <c r="N127" t="s">
        <v>18</v>
      </c>
    </row>
    <row r="128" spans="5:14" x14ac:dyDescent="0.35">
      <c r="E128" t="s">
        <v>10</v>
      </c>
      <c r="F128" t="s">
        <v>45</v>
      </c>
      <c r="G128" t="s">
        <v>42</v>
      </c>
      <c r="H128" t="s">
        <v>22</v>
      </c>
      <c r="I128" t="s">
        <v>23</v>
      </c>
      <c r="J128" t="s">
        <v>26</v>
      </c>
      <c r="K128">
        <v>11021</v>
      </c>
      <c r="L128">
        <v>5</v>
      </c>
      <c r="M128">
        <v>55105</v>
      </c>
      <c r="N128" t="s">
        <v>16</v>
      </c>
    </row>
    <row r="129" spans="5:14" x14ac:dyDescent="0.35">
      <c r="E129" t="s">
        <v>10</v>
      </c>
      <c r="F129" t="s">
        <v>45</v>
      </c>
      <c r="G129" t="s">
        <v>42</v>
      </c>
      <c r="H129" t="s">
        <v>22</v>
      </c>
      <c r="I129" t="s">
        <v>27</v>
      </c>
      <c r="J129" t="s">
        <v>28</v>
      </c>
      <c r="K129">
        <v>11463</v>
      </c>
      <c r="L129">
        <v>3</v>
      </c>
      <c r="M129">
        <v>34389</v>
      </c>
      <c r="N129" t="s">
        <v>16</v>
      </c>
    </row>
    <row r="130" spans="5:14" x14ac:dyDescent="0.35">
      <c r="E130" t="s">
        <v>10</v>
      </c>
      <c r="F130" t="s">
        <v>46</v>
      </c>
      <c r="G130" t="s">
        <v>42</v>
      </c>
      <c r="H130" t="s">
        <v>13</v>
      </c>
      <c r="I130" t="s">
        <v>14</v>
      </c>
      <c r="J130" t="s">
        <v>15</v>
      </c>
      <c r="K130">
        <v>14026</v>
      </c>
      <c r="L130">
        <v>10</v>
      </c>
      <c r="M130">
        <v>140260</v>
      </c>
      <c r="N130" t="s">
        <v>21</v>
      </c>
    </row>
    <row r="131" spans="5:14" x14ac:dyDescent="0.35">
      <c r="E131" t="s">
        <v>10</v>
      </c>
      <c r="F131" t="s">
        <v>46</v>
      </c>
      <c r="G131" t="s">
        <v>42</v>
      </c>
      <c r="H131" t="s">
        <v>13</v>
      </c>
      <c r="I131" t="s">
        <v>14</v>
      </c>
      <c r="J131" t="s">
        <v>17</v>
      </c>
      <c r="K131">
        <v>5266</v>
      </c>
      <c r="L131">
        <v>20</v>
      </c>
      <c r="M131">
        <v>105320</v>
      </c>
      <c r="N131" t="s">
        <v>16</v>
      </c>
    </row>
    <row r="132" spans="5:14" x14ac:dyDescent="0.35">
      <c r="E132" t="s">
        <v>10</v>
      </c>
      <c r="F132" t="s">
        <v>46</v>
      </c>
      <c r="G132" t="s">
        <v>42</v>
      </c>
      <c r="H132" t="s">
        <v>13</v>
      </c>
      <c r="I132" t="s">
        <v>14</v>
      </c>
      <c r="J132" t="s">
        <v>19</v>
      </c>
      <c r="K132">
        <v>8955</v>
      </c>
      <c r="L132">
        <v>30</v>
      </c>
      <c r="M132">
        <v>268650</v>
      </c>
      <c r="N132" t="s">
        <v>21</v>
      </c>
    </row>
    <row r="133" spans="5:14" x14ac:dyDescent="0.35">
      <c r="E133" t="s">
        <v>10</v>
      </c>
      <c r="F133" t="s">
        <v>46</v>
      </c>
      <c r="G133" t="s">
        <v>42</v>
      </c>
      <c r="H133" t="s">
        <v>13</v>
      </c>
      <c r="I133" t="s">
        <v>14</v>
      </c>
      <c r="J133" t="s">
        <v>20</v>
      </c>
      <c r="K133">
        <v>6895</v>
      </c>
      <c r="L133">
        <v>15</v>
      </c>
      <c r="M133">
        <v>103425</v>
      </c>
      <c r="N133" t="s">
        <v>21</v>
      </c>
    </row>
    <row r="134" spans="5:14" x14ac:dyDescent="0.35">
      <c r="E134" t="s">
        <v>10</v>
      </c>
      <c r="F134" t="s">
        <v>46</v>
      </c>
      <c r="G134" t="s">
        <v>42</v>
      </c>
      <c r="H134" t="s">
        <v>22</v>
      </c>
      <c r="I134" t="s">
        <v>23</v>
      </c>
      <c r="J134" t="s">
        <v>24</v>
      </c>
      <c r="K134">
        <v>9826</v>
      </c>
      <c r="L134">
        <v>2</v>
      </c>
      <c r="M134">
        <v>19652</v>
      </c>
      <c r="N134" t="s">
        <v>18</v>
      </c>
    </row>
    <row r="135" spans="5:14" x14ac:dyDescent="0.35">
      <c r="E135" t="s">
        <v>10</v>
      </c>
      <c r="F135" t="s">
        <v>46</v>
      </c>
      <c r="G135" t="s">
        <v>42</v>
      </c>
      <c r="H135" t="s">
        <v>22</v>
      </c>
      <c r="I135" t="s">
        <v>23</v>
      </c>
      <c r="J135" t="s">
        <v>25</v>
      </c>
      <c r="K135">
        <v>8429</v>
      </c>
      <c r="L135">
        <v>2</v>
      </c>
      <c r="M135">
        <v>16858</v>
      </c>
      <c r="N135" t="s">
        <v>18</v>
      </c>
    </row>
    <row r="136" spans="5:14" x14ac:dyDescent="0.35">
      <c r="E136" t="s">
        <v>10</v>
      </c>
      <c r="F136" t="s">
        <v>46</v>
      </c>
      <c r="G136" t="s">
        <v>42</v>
      </c>
      <c r="H136" t="s">
        <v>22</v>
      </c>
      <c r="I136" t="s">
        <v>23</v>
      </c>
      <c r="J136" t="s">
        <v>26</v>
      </c>
      <c r="K136">
        <v>8831</v>
      </c>
      <c r="L136">
        <v>5</v>
      </c>
      <c r="M136">
        <v>44155</v>
      </c>
      <c r="N136" t="s">
        <v>16</v>
      </c>
    </row>
    <row r="137" spans="5:14" x14ac:dyDescent="0.35">
      <c r="E137" t="s">
        <v>10</v>
      </c>
      <c r="F137" t="s">
        <v>46</v>
      </c>
      <c r="G137" t="s">
        <v>42</v>
      </c>
      <c r="H137" t="s">
        <v>22</v>
      </c>
      <c r="I137" t="s">
        <v>27</v>
      </c>
      <c r="J137" t="s">
        <v>28</v>
      </c>
      <c r="K137">
        <v>7921</v>
      </c>
      <c r="L137">
        <v>3</v>
      </c>
      <c r="M137">
        <v>23763</v>
      </c>
      <c r="N137" t="s">
        <v>16</v>
      </c>
    </row>
    <row r="138" spans="5:14" x14ac:dyDescent="0.35">
      <c r="E138" t="s">
        <v>10</v>
      </c>
      <c r="F138" t="s">
        <v>47</v>
      </c>
      <c r="G138" t="s">
        <v>48</v>
      </c>
      <c r="H138" t="s">
        <v>13</v>
      </c>
      <c r="I138" t="s">
        <v>14</v>
      </c>
      <c r="J138" t="s">
        <v>15</v>
      </c>
      <c r="K138">
        <v>13465</v>
      </c>
      <c r="L138">
        <v>10</v>
      </c>
      <c r="M138">
        <v>134650</v>
      </c>
      <c r="N138" t="s">
        <v>21</v>
      </c>
    </row>
    <row r="139" spans="5:14" x14ac:dyDescent="0.35">
      <c r="E139" t="s">
        <v>10</v>
      </c>
      <c r="F139" t="s">
        <v>47</v>
      </c>
      <c r="G139" t="s">
        <v>48</v>
      </c>
      <c r="H139" t="s">
        <v>13</v>
      </c>
      <c r="I139" t="s">
        <v>14</v>
      </c>
      <c r="J139" t="s">
        <v>17</v>
      </c>
      <c r="K139">
        <v>6763</v>
      </c>
      <c r="L139">
        <v>20</v>
      </c>
      <c r="M139">
        <v>135260</v>
      </c>
      <c r="N139" t="s">
        <v>21</v>
      </c>
    </row>
    <row r="140" spans="5:14" x14ac:dyDescent="0.35">
      <c r="E140" t="s">
        <v>10</v>
      </c>
      <c r="F140" t="s">
        <v>47</v>
      </c>
      <c r="G140" t="s">
        <v>48</v>
      </c>
      <c r="H140" t="s">
        <v>13</v>
      </c>
      <c r="I140" t="s">
        <v>14</v>
      </c>
      <c r="J140" t="s">
        <v>19</v>
      </c>
      <c r="K140">
        <v>9332</v>
      </c>
      <c r="L140">
        <v>30</v>
      </c>
      <c r="M140">
        <v>279960</v>
      </c>
      <c r="N140" t="s">
        <v>16</v>
      </c>
    </row>
    <row r="141" spans="5:14" x14ac:dyDescent="0.35">
      <c r="E141" t="s">
        <v>10</v>
      </c>
      <c r="F141" t="s">
        <v>47</v>
      </c>
      <c r="G141" t="s">
        <v>48</v>
      </c>
      <c r="H141" t="s">
        <v>13</v>
      </c>
      <c r="I141" t="s">
        <v>14</v>
      </c>
      <c r="J141" t="s">
        <v>20</v>
      </c>
      <c r="K141">
        <v>6217</v>
      </c>
      <c r="L141">
        <v>15</v>
      </c>
      <c r="M141">
        <v>93255</v>
      </c>
      <c r="N141" t="s">
        <v>21</v>
      </c>
    </row>
    <row r="142" spans="5:14" x14ac:dyDescent="0.35">
      <c r="E142" t="s">
        <v>10</v>
      </c>
      <c r="F142" t="s">
        <v>47</v>
      </c>
      <c r="G142" t="s">
        <v>48</v>
      </c>
      <c r="H142" t="s">
        <v>22</v>
      </c>
      <c r="I142" t="s">
        <v>23</v>
      </c>
      <c r="J142" t="s">
        <v>24</v>
      </c>
      <c r="K142">
        <v>11908</v>
      </c>
      <c r="L142">
        <v>2</v>
      </c>
      <c r="M142">
        <v>23816</v>
      </c>
      <c r="N142" t="s">
        <v>21</v>
      </c>
    </row>
    <row r="143" spans="5:14" x14ac:dyDescent="0.35">
      <c r="E143" t="s">
        <v>10</v>
      </c>
      <c r="F143" t="s">
        <v>47</v>
      </c>
      <c r="G143" t="s">
        <v>48</v>
      </c>
      <c r="H143" t="s">
        <v>22</v>
      </c>
      <c r="I143" t="s">
        <v>23</v>
      </c>
      <c r="J143" t="s">
        <v>25</v>
      </c>
      <c r="K143">
        <v>14543</v>
      </c>
      <c r="L143">
        <v>2</v>
      </c>
      <c r="M143">
        <v>29086</v>
      </c>
      <c r="N143" t="s">
        <v>21</v>
      </c>
    </row>
    <row r="144" spans="5:14" x14ac:dyDescent="0.35">
      <c r="E144" t="s">
        <v>10</v>
      </c>
      <c r="F144" t="s">
        <v>47</v>
      </c>
      <c r="G144" t="s">
        <v>48</v>
      </c>
      <c r="H144" t="s">
        <v>22</v>
      </c>
      <c r="I144" t="s">
        <v>23</v>
      </c>
      <c r="J144" t="s">
        <v>26</v>
      </c>
      <c r="K144">
        <v>6942</v>
      </c>
      <c r="L144">
        <v>5</v>
      </c>
      <c r="M144">
        <v>34710</v>
      </c>
      <c r="N144" t="s">
        <v>16</v>
      </c>
    </row>
    <row r="145" spans="5:14" x14ac:dyDescent="0.35">
      <c r="E145" t="s">
        <v>10</v>
      </c>
      <c r="F145" t="s">
        <v>47</v>
      </c>
      <c r="G145" t="s">
        <v>48</v>
      </c>
      <c r="H145" t="s">
        <v>22</v>
      </c>
      <c r="I145" t="s">
        <v>27</v>
      </c>
      <c r="J145" t="s">
        <v>28</v>
      </c>
      <c r="K145">
        <v>10571</v>
      </c>
      <c r="L145">
        <v>3</v>
      </c>
      <c r="M145">
        <v>31713</v>
      </c>
      <c r="N145" t="s">
        <v>16</v>
      </c>
    </row>
    <row r="146" spans="5:14" x14ac:dyDescent="0.35">
      <c r="E146" t="s">
        <v>10</v>
      </c>
      <c r="F146" t="s">
        <v>49</v>
      </c>
      <c r="G146" t="s">
        <v>48</v>
      </c>
      <c r="H146" t="s">
        <v>13</v>
      </c>
      <c r="I146" t="s">
        <v>14</v>
      </c>
      <c r="J146" t="s">
        <v>15</v>
      </c>
      <c r="K146">
        <v>11962</v>
      </c>
      <c r="L146">
        <v>10</v>
      </c>
      <c r="M146">
        <v>119620</v>
      </c>
      <c r="N146" t="s">
        <v>18</v>
      </c>
    </row>
    <row r="147" spans="5:14" x14ac:dyDescent="0.35">
      <c r="E147" t="s">
        <v>10</v>
      </c>
      <c r="F147" t="s">
        <v>49</v>
      </c>
      <c r="G147" t="s">
        <v>48</v>
      </c>
      <c r="H147" t="s">
        <v>13</v>
      </c>
      <c r="I147" t="s">
        <v>14</v>
      </c>
      <c r="J147" t="s">
        <v>17</v>
      </c>
      <c r="K147">
        <v>6724</v>
      </c>
      <c r="L147">
        <v>20</v>
      </c>
      <c r="M147">
        <v>134480</v>
      </c>
      <c r="N147" t="s">
        <v>21</v>
      </c>
    </row>
    <row r="148" spans="5:14" x14ac:dyDescent="0.35">
      <c r="E148" t="s">
        <v>10</v>
      </c>
      <c r="F148" t="s">
        <v>49</v>
      </c>
      <c r="G148" t="s">
        <v>48</v>
      </c>
      <c r="H148" t="s">
        <v>13</v>
      </c>
      <c r="I148" t="s">
        <v>14</v>
      </c>
      <c r="J148" t="s">
        <v>19</v>
      </c>
      <c r="K148">
        <v>6634</v>
      </c>
      <c r="L148">
        <v>30</v>
      </c>
      <c r="M148">
        <v>199020</v>
      </c>
      <c r="N148" t="s">
        <v>18</v>
      </c>
    </row>
    <row r="149" spans="5:14" x14ac:dyDescent="0.35">
      <c r="E149" t="s">
        <v>10</v>
      </c>
      <c r="F149" t="s">
        <v>49</v>
      </c>
      <c r="G149" t="s">
        <v>48</v>
      </c>
      <c r="H149" t="s">
        <v>13</v>
      </c>
      <c r="I149" t="s">
        <v>14</v>
      </c>
      <c r="J149" t="s">
        <v>20</v>
      </c>
      <c r="K149">
        <v>14349</v>
      </c>
      <c r="L149">
        <v>15</v>
      </c>
      <c r="M149">
        <v>215235</v>
      </c>
      <c r="N149" t="s">
        <v>18</v>
      </c>
    </row>
    <row r="150" spans="5:14" x14ac:dyDescent="0.35">
      <c r="E150" t="s">
        <v>10</v>
      </c>
      <c r="F150" t="s">
        <v>49</v>
      </c>
      <c r="G150" t="s">
        <v>48</v>
      </c>
      <c r="H150" t="s">
        <v>22</v>
      </c>
      <c r="I150" t="s">
        <v>23</v>
      </c>
      <c r="J150" t="s">
        <v>24</v>
      </c>
      <c r="K150">
        <v>14560</v>
      </c>
      <c r="L150">
        <v>2</v>
      </c>
      <c r="M150">
        <v>29120</v>
      </c>
      <c r="N150" t="s">
        <v>21</v>
      </c>
    </row>
    <row r="151" spans="5:14" x14ac:dyDescent="0.35">
      <c r="E151" t="s">
        <v>10</v>
      </c>
      <c r="F151" t="s">
        <v>49</v>
      </c>
      <c r="G151" t="s">
        <v>48</v>
      </c>
      <c r="H151" t="s">
        <v>22</v>
      </c>
      <c r="I151" t="s">
        <v>23</v>
      </c>
      <c r="J151" t="s">
        <v>25</v>
      </c>
      <c r="K151">
        <v>8046</v>
      </c>
      <c r="L151">
        <v>2</v>
      </c>
      <c r="M151">
        <v>16092</v>
      </c>
      <c r="N151" t="s">
        <v>18</v>
      </c>
    </row>
    <row r="152" spans="5:14" x14ac:dyDescent="0.35">
      <c r="E152" t="s">
        <v>10</v>
      </c>
      <c r="F152" t="s">
        <v>49</v>
      </c>
      <c r="G152" t="s">
        <v>48</v>
      </c>
      <c r="H152" t="s">
        <v>22</v>
      </c>
      <c r="I152" t="s">
        <v>23</v>
      </c>
      <c r="J152" t="s">
        <v>26</v>
      </c>
      <c r="K152">
        <v>8303</v>
      </c>
      <c r="L152">
        <v>5</v>
      </c>
      <c r="M152">
        <v>41515</v>
      </c>
      <c r="N152" t="s">
        <v>18</v>
      </c>
    </row>
    <row r="153" spans="5:14" x14ac:dyDescent="0.35">
      <c r="E153" t="s">
        <v>10</v>
      </c>
      <c r="F153" t="s">
        <v>49</v>
      </c>
      <c r="G153" t="s">
        <v>48</v>
      </c>
      <c r="H153" t="s">
        <v>22</v>
      </c>
      <c r="I153" t="s">
        <v>27</v>
      </c>
      <c r="J153" t="s">
        <v>28</v>
      </c>
      <c r="K153">
        <v>13311</v>
      </c>
      <c r="L153">
        <v>3</v>
      </c>
      <c r="M153">
        <v>39933</v>
      </c>
      <c r="N153" t="s">
        <v>18</v>
      </c>
    </row>
    <row r="154" spans="5:14" x14ac:dyDescent="0.35">
      <c r="E154" t="s">
        <v>10</v>
      </c>
      <c r="F154" t="s">
        <v>50</v>
      </c>
      <c r="G154" t="s">
        <v>48</v>
      </c>
      <c r="H154" t="s">
        <v>13</v>
      </c>
      <c r="I154" t="s">
        <v>14</v>
      </c>
      <c r="J154" t="s">
        <v>15</v>
      </c>
      <c r="K154">
        <v>6787</v>
      </c>
      <c r="L154">
        <v>10</v>
      </c>
      <c r="M154">
        <v>67870</v>
      </c>
      <c r="N154" t="s">
        <v>18</v>
      </c>
    </row>
    <row r="155" spans="5:14" x14ac:dyDescent="0.35">
      <c r="E155" t="s">
        <v>10</v>
      </c>
      <c r="F155" t="s">
        <v>50</v>
      </c>
      <c r="G155" t="s">
        <v>48</v>
      </c>
      <c r="H155" t="s">
        <v>13</v>
      </c>
      <c r="I155" t="s">
        <v>14</v>
      </c>
      <c r="J155" t="s">
        <v>17</v>
      </c>
      <c r="K155">
        <v>6083</v>
      </c>
      <c r="L155">
        <v>20</v>
      </c>
      <c r="M155">
        <v>121660</v>
      </c>
      <c r="N155" t="s">
        <v>16</v>
      </c>
    </row>
    <row r="156" spans="5:14" x14ac:dyDescent="0.35">
      <c r="E156" t="s">
        <v>10</v>
      </c>
      <c r="F156" t="s">
        <v>50</v>
      </c>
      <c r="G156" t="s">
        <v>48</v>
      </c>
      <c r="H156" t="s">
        <v>13</v>
      </c>
      <c r="I156" t="s">
        <v>14</v>
      </c>
      <c r="J156" t="s">
        <v>19</v>
      </c>
      <c r="K156">
        <v>9643</v>
      </c>
      <c r="L156">
        <v>30</v>
      </c>
      <c r="M156">
        <v>289290</v>
      </c>
      <c r="N156" t="s">
        <v>18</v>
      </c>
    </row>
    <row r="157" spans="5:14" x14ac:dyDescent="0.35">
      <c r="E157" t="s">
        <v>10</v>
      </c>
      <c r="F157" t="s">
        <v>50</v>
      </c>
      <c r="G157" t="s">
        <v>48</v>
      </c>
      <c r="H157" t="s">
        <v>13</v>
      </c>
      <c r="I157" t="s">
        <v>14</v>
      </c>
      <c r="J157" t="s">
        <v>20</v>
      </c>
      <c r="K157">
        <v>6842</v>
      </c>
      <c r="L157">
        <v>15</v>
      </c>
      <c r="M157">
        <v>102630</v>
      </c>
      <c r="N157" t="s">
        <v>18</v>
      </c>
    </row>
    <row r="158" spans="5:14" x14ac:dyDescent="0.35">
      <c r="E158" t="s">
        <v>10</v>
      </c>
      <c r="F158" t="s">
        <v>50</v>
      </c>
      <c r="G158" t="s">
        <v>48</v>
      </c>
      <c r="H158" t="s">
        <v>22</v>
      </c>
      <c r="I158" t="s">
        <v>23</v>
      </c>
      <c r="J158" t="s">
        <v>24</v>
      </c>
      <c r="K158">
        <v>12327</v>
      </c>
      <c r="L158">
        <v>2</v>
      </c>
      <c r="M158">
        <v>24654</v>
      </c>
      <c r="N158" t="s">
        <v>21</v>
      </c>
    </row>
    <row r="159" spans="5:14" x14ac:dyDescent="0.35">
      <c r="E159" t="s">
        <v>10</v>
      </c>
      <c r="F159" t="s">
        <v>50</v>
      </c>
      <c r="G159" t="s">
        <v>48</v>
      </c>
      <c r="H159" t="s">
        <v>22</v>
      </c>
      <c r="I159" t="s">
        <v>23</v>
      </c>
      <c r="J159" t="s">
        <v>25</v>
      </c>
      <c r="K159">
        <v>8221</v>
      </c>
      <c r="L159">
        <v>2</v>
      </c>
      <c r="M159">
        <v>16442</v>
      </c>
      <c r="N159" t="s">
        <v>16</v>
      </c>
    </row>
    <row r="160" spans="5:14" x14ac:dyDescent="0.35">
      <c r="E160" t="s">
        <v>10</v>
      </c>
      <c r="F160" t="s">
        <v>50</v>
      </c>
      <c r="G160" t="s">
        <v>48</v>
      </c>
      <c r="H160" t="s">
        <v>22</v>
      </c>
      <c r="I160" t="s">
        <v>23</v>
      </c>
      <c r="J160" t="s">
        <v>26</v>
      </c>
      <c r="K160">
        <v>10195</v>
      </c>
      <c r="L160">
        <v>5</v>
      </c>
      <c r="M160">
        <v>50975</v>
      </c>
      <c r="N160" t="s">
        <v>21</v>
      </c>
    </row>
    <row r="161" spans="5:14" x14ac:dyDescent="0.35">
      <c r="E161" t="s">
        <v>10</v>
      </c>
      <c r="F161" t="s">
        <v>50</v>
      </c>
      <c r="G161" t="s">
        <v>48</v>
      </c>
      <c r="H161" t="s">
        <v>22</v>
      </c>
      <c r="I161" t="s">
        <v>27</v>
      </c>
      <c r="J161" t="s">
        <v>28</v>
      </c>
      <c r="K161">
        <v>6426</v>
      </c>
      <c r="L161">
        <v>3</v>
      </c>
      <c r="M161">
        <v>19278</v>
      </c>
      <c r="N161" t="s">
        <v>18</v>
      </c>
    </row>
    <row r="162" spans="5:14" x14ac:dyDescent="0.35">
      <c r="E162" t="s">
        <v>10</v>
      </c>
      <c r="F162" t="s">
        <v>51</v>
      </c>
      <c r="G162" t="s">
        <v>48</v>
      </c>
      <c r="H162" t="s">
        <v>13</v>
      </c>
      <c r="I162" t="s">
        <v>14</v>
      </c>
      <c r="J162" t="s">
        <v>15</v>
      </c>
      <c r="K162">
        <v>9941</v>
      </c>
      <c r="L162">
        <v>10</v>
      </c>
      <c r="M162">
        <v>99410</v>
      </c>
      <c r="N162" t="s">
        <v>18</v>
      </c>
    </row>
    <row r="163" spans="5:14" x14ac:dyDescent="0.35">
      <c r="E163" t="s">
        <v>10</v>
      </c>
      <c r="F163" t="s">
        <v>51</v>
      </c>
      <c r="G163" t="s">
        <v>48</v>
      </c>
      <c r="H163" t="s">
        <v>13</v>
      </c>
      <c r="I163" t="s">
        <v>14</v>
      </c>
      <c r="J163" t="s">
        <v>17</v>
      </c>
      <c r="K163">
        <v>8298</v>
      </c>
      <c r="L163">
        <v>20</v>
      </c>
      <c r="M163">
        <v>165960</v>
      </c>
      <c r="N163" t="s">
        <v>16</v>
      </c>
    </row>
    <row r="164" spans="5:14" x14ac:dyDescent="0.35">
      <c r="E164" t="s">
        <v>10</v>
      </c>
      <c r="F164" t="s">
        <v>51</v>
      </c>
      <c r="G164" t="s">
        <v>48</v>
      </c>
      <c r="H164" t="s">
        <v>13</v>
      </c>
      <c r="I164" t="s">
        <v>14</v>
      </c>
      <c r="J164" t="s">
        <v>19</v>
      </c>
      <c r="K164">
        <v>13763</v>
      </c>
      <c r="L164">
        <v>30</v>
      </c>
      <c r="M164">
        <v>412890</v>
      </c>
      <c r="N164" t="s">
        <v>16</v>
      </c>
    </row>
    <row r="165" spans="5:14" x14ac:dyDescent="0.35">
      <c r="E165" t="s">
        <v>10</v>
      </c>
      <c r="F165" t="s">
        <v>51</v>
      </c>
      <c r="G165" t="s">
        <v>48</v>
      </c>
      <c r="H165" t="s">
        <v>13</v>
      </c>
      <c r="I165" t="s">
        <v>14</v>
      </c>
      <c r="J165" t="s">
        <v>20</v>
      </c>
      <c r="K165">
        <v>5920</v>
      </c>
      <c r="L165">
        <v>15</v>
      </c>
      <c r="M165">
        <v>88800</v>
      </c>
      <c r="N165" t="s">
        <v>16</v>
      </c>
    </row>
    <row r="166" spans="5:14" x14ac:dyDescent="0.35">
      <c r="E166" t="s">
        <v>10</v>
      </c>
      <c r="F166" t="s">
        <v>51</v>
      </c>
      <c r="G166" t="s">
        <v>48</v>
      </c>
      <c r="H166" t="s">
        <v>22</v>
      </c>
      <c r="I166" t="s">
        <v>23</v>
      </c>
      <c r="J166" t="s">
        <v>24</v>
      </c>
      <c r="K166">
        <v>14734</v>
      </c>
      <c r="L166">
        <v>2</v>
      </c>
      <c r="M166">
        <v>29468</v>
      </c>
      <c r="N166" t="s">
        <v>21</v>
      </c>
    </row>
    <row r="167" spans="5:14" x14ac:dyDescent="0.35">
      <c r="E167" t="s">
        <v>10</v>
      </c>
      <c r="F167" t="s">
        <v>51</v>
      </c>
      <c r="G167" t="s">
        <v>48</v>
      </c>
      <c r="H167" t="s">
        <v>22</v>
      </c>
      <c r="I167" t="s">
        <v>23</v>
      </c>
      <c r="J167" t="s">
        <v>25</v>
      </c>
      <c r="K167">
        <v>11763</v>
      </c>
      <c r="L167">
        <v>2</v>
      </c>
      <c r="M167">
        <v>23526</v>
      </c>
      <c r="N167" t="s">
        <v>18</v>
      </c>
    </row>
    <row r="168" spans="5:14" x14ac:dyDescent="0.35">
      <c r="E168" t="s">
        <v>10</v>
      </c>
      <c r="F168" t="s">
        <v>51</v>
      </c>
      <c r="G168" t="s">
        <v>48</v>
      </c>
      <c r="H168" t="s">
        <v>22</v>
      </c>
      <c r="I168" t="s">
        <v>23</v>
      </c>
      <c r="J168" t="s">
        <v>26</v>
      </c>
      <c r="K168">
        <v>11254</v>
      </c>
      <c r="L168">
        <v>5</v>
      </c>
      <c r="M168">
        <v>56270</v>
      </c>
      <c r="N168" t="s">
        <v>18</v>
      </c>
    </row>
    <row r="169" spans="5:14" x14ac:dyDescent="0.35">
      <c r="E169" t="s">
        <v>10</v>
      </c>
      <c r="F169" t="s">
        <v>51</v>
      </c>
      <c r="G169" t="s">
        <v>48</v>
      </c>
      <c r="H169" t="s">
        <v>22</v>
      </c>
      <c r="I169" t="s">
        <v>27</v>
      </c>
      <c r="J169" t="s">
        <v>28</v>
      </c>
      <c r="K169">
        <v>10815</v>
      </c>
      <c r="L169">
        <v>3</v>
      </c>
      <c r="M169">
        <v>32445</v>
      </c>
      <c r="N169" t="s">
        <v>21</v>
      </c>
    </row>
    <row r="170" spans="5:14" x14ac:dyDescent="0.35">
      <c r="E170" t="s">
        <v>10</v>
      </c>
      <c r="F170" t="s">
        <v>52</v>
      </c>
      <c r="G170" t="s">
        <v>48</v>
      </c>
      <c r="H170" t="s">
        <v>13</v>
      </c>
      <c r="I170" t="s">
        <v>14</v>
      </c>
      <c r="J170" t="s">
        <v>15</v>
      </c>
      <c r="K170">
        <v>9091</v>
      </c>
      <c r="L170">
        <v>10</v>
      </c>
      <c r="M170">
        <v>90910</v>
      </c>
      <c r="N170" t="s">
        <v>21</v>
      </c>
    </row>
    <row r="171" spans="5:14" x14ac:dyDescent="0.35">
      <c r="E171" t="s">
        <v>10</v>
      </c>
      <c r="F171" t="s">
        <v>52</v>
      </c>
      <c r="G171" t="s">
        <v>48</v>
      </c>
      <c r="H171" t="s">
        <v>13</v>
      </c>
      <c r="I171" t="s">
        <v>14</v>
      </c>
      <c r="J171" t="s">
        <v>17</v>
      </c>
      <c r="K171">
        <v>10708</v>
      </c>
      <c r="L171">
        <v>20</v>
      </c>
      <c r="M171">
        <v>214160</v>
      </c>
      <c r="N171" t="s">
        <v>16</v>
      </c>
    </row>
    <row r="172" spans="5:14" x14ac:dyDescent="0.35">
      <c r="E172" t="s">
        <v>10</v>
      </c>
      <c r="F172" t="s">
        <v>52</v>
      </c>
      <c r="G172" t="s">
        <v>48</v>
      </c>
      <c r="H172" t="s">
        <v>13</v>
      </c>
      <c r="I172" t="s">
        <v>14</v>
      </c>
      <c r="J172" t="s">
        <v>19</v>
      </c>
      <c r="K172">
        <v>12275</v>
      </c>
      <c r="L172">
        <v>30</v>
      </c>
      <c r="M172">
        <v>368250</v>
      </c>
      <c r="N172" t="s">
        <v>16</v>
      </c>
    </row>
    <row r="173" spans="5:14" x14ac:dyDescent="0.35">
      <c r="E173" t="s">
        <v>10</v>
      </c>
      <c r="F173" t="s">
        <v>52</v>
      </c>
      <c r="G173" t="s">
        <v>48</v>
      </c>
      <c r="H173" t="s">
        <v>13</v>
      </c>
      <c r="I173" t="s">
        <v>14</v>
      </c>
      <c r="J173" t="s">
        <v>20</v>
      </c>
      <c r="K173">
        <v>6790</v>
      </c>
      <c r="L173">
        <v>15</v>
      </c>
      <c r="M173">
        <v>101850</v>
      </c>
      <c r="N173" t="s">
        <v>16</v>
      </c>
    </row>
    <row r="174" spans="5:14" x14ac:dyDescent="0.35">
      <c r="E174" t="s">
        <v>10</v>
      </c>
      <c r="F174" t="s">
        <v>52</v>
      </c>
      <c r="G174" t="s">
        <v>48</v>
      </c>
      <c r="H174" t="s">
        <v>22</v>
      </c>
      <c r="I174" t="s">
        <v>23</v>
      </c>
      <c r="J174" t="s">
        <v>24</v>
      </c>
      <c r="K174">
        <v>5596</v>
      </c>
      <c r="L174">
        <v>2</v>
      </c>
      <c r="M174">
        <v>11192</v>
      </c>
      <c r="N174" t="s">
        <v>16</v>
      </c>
    </row>
    <row r="175" spans="5:14" x14ac:dyDescent="0.35">
      <c r="E175" t="s">
        <v>10</v>
      </c>
      <c r="F175" t="s">
        <v>52</v>
      </c>
      <c r="G175" t="s">
        <v>48</v>
      </c>
      <c r="H175" t="s">
        <v>22</v>
      </c>
      <c r="I175" t="s">
        <v>23</v>
      </c>
      <c r="J175" t="s">
        <v>25</v>
      </c>
      <c r="K175">
        <v>11222</v>
      </c>
      <c r="L175">
        <v>2</v>
      </c>
      <c r="M175">
        <v>22444</v>
      </c>
      <c r="N175" t="s">
        <v>21</v>
      </c>
    </row>
    <row r="176" spans="5:14" x14ac:dyDescent="0.35">
      <c r="E176" t="s">
        <v>10</v>
      </c>
      <c r="F176" t="s">
        <v>52</v>
      </c>
      <c r="G176" t="s">
        <v>48</v>
      </c>
      <c r="H176" t="s">
        <v>22</v>
      </c>
      <c r="I176" t="s">
        <v>23</v>
      </c>
      <c r="J176" t="s">
        <v>26</v>
      </c>
      <c r="K176">
        <v>13295</v>
      </c>
      <c r="L176">
        <v>5</v>
      </c>
      <c r="M176">
        <v>66475</v>
      </c>
      <c r="N176" t="s">
        <v>18</v>
      </c>
    </row>
    <row r="177" spans="5:14" x14ac:dyDescent="0.35">
      <c r="E177" t="s">
        <v>10</v>
      </c>
      <c r="F177" t="s">
        <v>52</v>
      </c>
      <c r="G177" t="s">
        <v>48</v>
      </c>
      <c r="H177" t="s">
        <v>22</v>
      </c>
      <c r="I177" t="s">
        <v>27</v>
      </c>
      <c r="J177" t="s">
        <v>28</v>
      </c>
      <c r="K177">
        <v>9910</v>
      </c>
      <c r="L177">
        <v>3</v>
      </c>
      <c r="M177">
        <v>29730</v>
      </c>
      <c r="N177" t="s">
        <v>18</v>
      </c>
    </row>
    <row r="178" spans="5:14" x14ac:dyDescent="0.35">
      <c r="E178" t="s">
        <v>53</v>
      </c>
      <c r="F178" t="s">
        <v>11</v>
      </c>
      <c r="G178" t="s">
        <v>12</v>
      </c>
      <c r="H178" t="s">
        <v>13</v>
      </c>
      <c r="I178" t="s">
        <v>14</v>
      </c>
      <c r="J178" t="s">
        <v>15</v>
      </c>
      <c r="K178">
        <v>14117</v>
      </c>
      <c r="L178">
        <v>10</v>
      </c>
      <c r="M178">
        <v>141170</v>
      </c>
      <c r="N178" t="s">
        <v>18</v>
      </c>
    </row>
    <row r="179" spans="5:14" x14ac:dyDescent="0.35">
      <c r="E179" t="s">
        <v>53</v>
      </c>
      <c r="F179" t="s">
        <v>11</v>
      </c>
      <c r="G179" t="s">
        <v>12</v>
      </c>
      <c r="H179" t="s">
        <v>13</v>
      </c>
      <c r="I179" t="s">
        <v>14</v>
      </c>
      <c r="J179" t="s">
        <v>17</v>
      </c>
      <c r="K179">
        <v>11401</v>
      </c>
      <c r="L179">
        <v>20</v>
      </c>
      <c r="M179">
        <v>228020</v>
      </c>
      <c r="N179" t="s">
        <v>16</v>
      </c>
    </row>
    <row r="180" spans="5:14" x14ac:dyDescent="0.35">
      <c r="E180" t="s">
        <v>53</v>
      </c>
      <c r="F180" t="s">
        <v>11</v>
      </c>
      <c r="G180" t="s">
        <v>12</v>
      </c>
      <c r="H180" t="s">
        <v>13</v>
      </c>
      <c r="I180" t="s">
        <v>14</v>
      </c>
      <c r="J180" t="s">
        <v>19</v>
      </c>
      <c r="K180">
        <v>12353</v>
      </c>
      <c r="L180">
        <v>30</v>
      </c>
      <c r="M180">
        <v>370590</v>
      </c>
      <c r="N180" t="s">
        <v>21</v>
      </c>
    </row>
    <row r="181" spans="5:14" x14ac:dyDescent="0.35">
      <c r="E181" t="s">
        <v>53</v>
      </c>
      <c r="F181" t="s">
        <v>11</v>
      </c>
      <c r="G181" t="s">
        <v>12</v>
      </c>
      <c r="H181" t="s">
        <v>13</v>
      </c>
      <c r="I181" t="s">
        <v>14</v>
      </c>
      <c r="J181" t="s">
        <v>20</v>
      </c>
      <c r="K181">
        <v>8632</v>
      </c>
      <c r="L181">
        <v>15</v>
      </c>
      <c r="M181">
        <v>129480</v>
      </c>
      <c r="N181" t="s">
        <v>16</v>
      </c>
    </row>
    <row r="182" spans="5:14" x14ac:dyDescent="0.35">
      <c r="E182" t="s">
        <v>53</v>
      </c>
      <c r="F182" t="s">
        <v>11</v>
      </c>
      <c r="G182" t="s">
        <v>12</v>
      </c>
      <c r="H182" t="s">
        <v>22</v>
      </c>
      <c r="I182" t="s">
        <v>23</v>
      </c>
      <c r="J182" t="s">
        <v>24</v>
      </c>
      <c r="K182">
        <v>8416</v>
      </c>
      <c r="L182">
        <v>2</v>
      </c>
      <c r="M182">
        <v>16832</v>
      </c>
      <c r="N182" t="s">
        <v>16</v>
      </c>
    </row>
    <row r="183" spans="5:14" x14ac:dyDescent="0.35">
      <c r="E183" t="s">
        <v>53</v>
      </c>
      <c r="F183" t="s">
        <v>11</v>
      </c>
      <c r="G183" t="s">
        <v>12</v>
      </c>
      <c r="H183" t="s">
        <v>22</v>
      </c>
      <c r="I183" t="s">
        <v>23</v>
      </c>
      <c r="J183" t="s">
        <v>25</v>
      </c>
      <c r="K183">
        <v>13953</v>
      </c>
      <c r="L183">
        <v>2</v>
      </c>
      <c r="M183">
        <v>27906</v>
      </c>
      <c r="N183" t="s">
        <v>21</v>
      </c>
    </row>
    <row r="184" spans="5:14" x14ac:dyDescent="0.35">
      <c r="E184" t="s">
        <v>53</v>
      </c>
      <c r="F184" t="s">
        <v>11</v>
      </c>
      <c r="G184" t="s">
        <v>12</v>
      </c>
      <c r="H184" t="s">
        <v>22</v>
      </c>
      <c r="I184" t="s">
        <v>23</v>
      </c>
      <c r="J184" t="s">
        <v>26</v>
      </c>
      <c r="K184">
        <v>12887</v>
      </c>
      <c r="L184">
        <v>5</v>
      </c>
      <c r="M184">
        <v>64435</v>
      </c>
      <c r="N184" t="s">
        <v>18</v>
      </c>
    </row>
    <row r="185" spans="5:14" x14ac:dyDescent="0.35">
      <c r="E185" t="s">
        <v>53</v>
      </c>
      <c r="F185" t="s">
        <v>11</v>
      </c>
      <c r="G185" t="s">
        <v>12</v>
      </c>
      <c r="H185" t="s">
        <v>22</v>
      </c>
      <c r="I185" t="s">
        <v>27</v>
      </c>
      <c r="J185" t="s">
        <v>28</v>
      </c>
      <c r="K185">
        <v>9598</v>
      </c>
      <c r="L185">
        <v>3</v>
      </c>
      <c r="M185">
        <v>28794</v>
      </c>
      <c r="N185" t="s">
        <v>18</v>
      </c>
    </row>
    <row r="186" spans="5:14" x14ac:dyDescent="0.35">
      <c r="E186" t="s">
        <v>53</v>
      </c>
      <c r="F186" t="s">
        <v>29</v>
      </c>
      <c r="G186" t="s">
        <v>12</v>
      </c>
      <c r="H186" t="s">
        <v>13</v>
      </c>
      <c r="I186" t="s">
        <v>14</v>
      </c>
      <c r="J186" t="s">
        <v>15</v>
      </c>
      <c r="K186">
        <v>8475</v>
      </c>
      <c r="L186">
        <v>10</v>
      </c>
      <c r="M186">
        <v>84750</v>
      </c>
      <c r="N186" t="s">
        <v>21</v>
      </c>
    </row>
    <row r="187" spans="5:14" x14ac:dyDescent="0.35">
      <c r="E187" t="s">
        <v>53</v>
      </c>
      <c r="F187" t="s">
        <v>29</v>
      </c>
      <c r="G187" t="s">
        <v>12</v>
      </c>
      <c r="H187" t="s">
        <v>13</v>
      </c>
      <c r="I187" t="s">
        <v>14</v>
      </c>
      <c r="J187" t="s">
        <v>17</v>
      </c>
      <c r="K187">
        <v>13077</v>
      </c>
      <c r="L187">
        <v>20</v>
      </c>
      <c r="M187">
        <v>261540</v>
      </c>
      <c r="N187" t="s">
        <v>18</v>
      </c>
    </row>
    <row r="188" spans="5:14" x14ac:dyDescent="0.35">
      <c r="E188" t="s">
        <v>53</v>
      </c>
      <c r="F188" t="s">
        <v>29</v>
      </c>
      <c r="G188" t="s">
        <v>12</v>
      </c>
      <c r="H188" t="s">
        <v>13</v>
      </c>
      <c r="I188" t="s">
        <v>14</v>
      </c>
      <c r="J188" t="s">
        <v>19</v>
      </c>
      <c r="K188">
        <v>8034</v>
      </c>
      <c r="L188">
        <v>30</v>
      </c>
      <c r="M188">
        <v>241020</v>
      </c>
      <c r="N188" t="s">
        <v>21</v>
      </c>
    </row>
    <row r="189" spans="5:14" x14ac:dyDescent="0.35">
      <c r="E189" t="s">
        <v>53</v>
      </c>
      <c r="F189" t="s">
        <v>29</v>
      </c>
      <c r="G189" t="s">
        <v>12</v>
      </c>
      <c r="H189" t="s">
        <v>13</v>
      </c>
      <c r="I189" t="s">
        <v>14</v>
      </c>
      <c r="J189" t="s">
        <v>20</v>
      </c>
      <c r="K189">
        <v>7573</v>
      </c>
      <c r="L189">
        <v>15</v>
      </c>
      <c r="M189">
        <v>113595</v>
      </c>
      <c r="N189" t="s">
        <v>21</v>
      </c>
    </row>
    <row r="190" spans="5:14" x14ac:dyDescent="0.35">
      <c r="E190" t="s">
        <v>53</v>
      </c>
      <c r="F190" t="s">
        <v>29</v>
      </c>
      <c r="G190" t="s">
        <v>12</v>
      </c>
      <c r="H190" t="s">
        <v>22</v>
      </c>
      <c r="I190" t="s">
        <v>23</v>
      </c>
      <c r="J190" t="s">
        <v>24</v>
      </c>
      <c r="K190">
        <v>12557</v>
      </c>
      <c r="L190">
        <v>2</v>
      </c>
      <c r="M190">
        <v>25114</v>
      </c>
      <c r="N190" t="s">
        <v>18</v>
      </c>
    </row>
    <row r="191" spans="5:14" x14ac:dyDescent="0.35">
      <c r="E191" t="s">
        <v>53</v>
      </c>
      <c r="F191" t="s">
        <v>29</v>
      </c>
      <c r="G191" t="s">
        <v>12</v>
      </c>
      <c r="H191" t="s">
        <v>22</v>
      </c>
      <c r="I191" t="s">
        <v>23</v>
      </c>
      <c r="J191" t="s">
        <v>25</v>
      </c>
      <c r="K191">
        <v>7911</v>
      </c>
      <c r="L191">
        <v>2</v>
      </c>
      <c r="M191">
        <v>15822</v>
      </c>
      <c r="N191" t="s">
        <v>16</v>
      </c>
    </row>
    <row r="192" spans="5:14" x14ac:dyDescent="0.35">
      <c r="E192" t="s">
        <v>53</v>
      </c>
      <c r="F192" t="s">
        <v>29</v>
      </c>
      <c r="G192" t="s">
        <v>12</v>
      </c>
      <c r="H192" t="s">
        <v>22</v>
      </c>
      <c r="I192" t="s">
        <v>23</v>
      </c>
      <c r="J192" t="s">
        <v>26</v>
      </c>
      <c r="K192">
        <v>8824</v>
      </c>
      <c r="L192">
        <v>5</v>
      </c>
      <c r="M192">
        <v>44120</v>
      </c>
      <c r="N192" t="s">
        <v>18</v>
      </c>
    </row>
    <row r="193" spans="5:14" x14ac:dyDescent="0.35">
      <c r="E193" t="s">
        <v>53</v>
      </c>
      <c r="F193" t="s">
        <v>29</v>
      </c>
      <c r="G193" t="s">
        <v>12</v>
      </c>
      <c r="H193" t="s">
        <v>22</v>
      </c>
      <c r="I193" t="s">
        <v>27</v>
      </c>
      <c r="J193" t="s">
        <v>28</v>
      </c>
      <c r="K193">
        <v>10578</v>
      </c>
      <c r="L193">
        <v>3</v>
      </c>
      <c r="M193">
        <v>31734</v>
      </c>
      <c r="N193" t="s">
        <v>21</v>
      </c>
    </row>
    <row r="194" spans="5:14" x14ac:dyDescent="0.35">
      <c r="E194" t="s">
        <v>53</v>
      </c>
      <c r="F194" t="s">
        <v>30</v>
      </c>
      <c r="G194" t="s">
        <v>12</v>
      </c>
      <c r="H194" t="s">
        <v>13</v>
      </c>
      <c r="I194" t="s">
        <v>14</v>
      </c>
      <c r="J194" t="s">
        <v>15</v>
      </c>
      <c r="K194">
        <v>12686</v>
      </c>
      <c r="L194">
        <v>10</v>
      </c>
      <c r="M194">
        <v>126860</v>
      </c>
      <c r="N194" t="s">
        <v>16</v>
      </c>
    </row>
    <row r="195" spans="5:14" x14ac:dyDescent="0.35">
      <c r="E195" t="s">
        <v>53</v>
      </c>
      <c r="F195" t="s">
        <v>30</v>
      </c>
      <c r="G195" t="s">
        <v>12</v>
      </c>
      <c r="H195" t="s">
        <v>13</v>
      </c>
      <c r="I195" t="s">
        <v>14</v>
      </c>
      <c r="J195" t="s">
        <v>17</v>
      </c>
      <c r="K195">
        <v>10948</v>
      </c>
      <c r="L195">
        <v>20</v>
      </c>
      <c r="M195">
        <v>218960</v>
      </c>
      <c r="N195" t="s">
        <v>16</v>
      </c>
    </row>
    <row r="196" spans="5:14" x14ac:dyDescent="0.35">
      <c r="E196" t="s">
        <v>53</v>
      </c>
      <c r="F196" t="s">
        <v>30</v>
      </c>
      <c r="G196" t="s">
        <v>12</v>
      </c>
      <c r="H196" t="s">
        <v>13</v>
      </c>
      <c r="I196" t="s">
        <v>14</v>
      </c>
      <c r="J196" t="s">
        <v>19</v>
      </c>
      <c r="K196">
        <v>10756</v>
      </c>
      <c r="L196">
        <v>30</v>
      </c>
      <c r="M196">
        <v>322680</v>
      </c>
      <c r="N196" t="s">
        <v>21</v>
      </c>
    </row>
    <row r="197" spans="5:14" x14ac:dyDescent="0.35">
      <c r="E197" t="s">
        <v>53</v>
      </c>
      <c r="F197" t="s">
        <v>30</v>
      </c>
      <c r="G197" t="s">
        <v>12</v>
      </c>
      <c r="H197" t="s">
        <v>13</v>
      </c>
      <c r="I197" t="s">
        <v>14</v>
      </c>
      <c r="J197" t="s">
        <v>20</v>
      </c>
      <c r="K197">
        <v>5876</v>
      </c>
      <c r="L197">
        <v>15</v>
      </c>
      <c r="M197">
        <v>88140</v>
      </c>
      <c r="N197" t="s">
        <v>16</v>
      </c>
    </row>
    <row r="198" spans="5:14" x14ac:dyDescent="0.35">
      <c r="E198" t="s">
        <v>53</v>
      </c>
      <c r="F198" t="s">
        <v>30</v>
      </c>
      <c r="G198" t="s">
        <v>12</v>
      </c>
      <c r="H198" t="s">
        <v>22</v>
      </c>
      <c r="I198" t="s">
        <v>23</v>
      </c>
      <c r="J198" t="s">
        <v>24</v>
      </c>
      <c r="K198">
        <v>11013</v>
      </c>
      <c r="L198">
        <v>2</v>
      </c>
      <c r="M198">
        <v>22026</v>
      </c>
      <c r="N198" t="s">
        <v>21</v>
      </c>
    </row>
    <row r="199" spans="5:14" x14ac:dyDescent="0.35">
      <c r="E199" t="s">
        <v>53</v>
      </c>
      <c r="F199" t="s">
        <v>30</v>
      </c>
      <c r="G199" t="s">
        <v>12</v>
      </c>
      <c r="H199" t="s">
        <v>22</v>
      </c>
      <c r="I199" t="s">
        <v>23</v>
      </c>
      <c r="J199" t="s">
        <v>25</v>
      </c>
      <c r="K199">
        <v>10496</v>
      </c>
      <c r="L199">
        <v>2</v>
      </c>
      <c r="M199">
        <v>20992</v>
      </c>
      <c r="N199" t="s">
        <v>21</v>
      </c>
    </row>
    <row r="200" spans="5:14" x14ac:dyDescent="0.35">
      <c r="E200" t="s">
        <v>53</v>
      </c>
      <c r="F200" t="s">
        <v>30</v>
      </c>
      <c r="G200" t="s">
        <v>12</v>
      </c>
      <c r="H200" t="s">
        <v>22</v>
      </c>
      <c r="I200" t="s">
        <v>23</v>
      </c>
      <c r="J200" t="s">
        <v>26</v>
      </c>
      <c r="K200">
        <v>12974</v>
      </c>
      <c r="L200">
        <v>5</v>
      </c>
      <c r="M200">
        <v>64870</v>
      </c>
      <c r="N200" t="s">
        <v>16</v>
      </c>
    </row>
    <row r="201" spans="5:14" x14ac:dyDescent="0.35">
      <c r="E201" t="s">
        <v>53</v>
      </c>
      <c r="F201" t="s">
        <v>30</v>
      </c>
      <c r="G201" t="s">
        <v>12</v>
      </c>
      <c r="H201" t="s">
        <v>22</v>
      </c>
      <c r="I201" t="s">
        <v>27</v>
      </c>
      <c r="J201" t="s">
        <v>28</v>
      </c>
      <c r="K201">
        <v>6189</v>
      </c>
      <c r="L201">
        <v>3</v>
      </c>
      <c r="M201">
        <v>18567</v>
      </c>
      <c r="N201" t="s">
        <v>21</v>
      </c>
    </row>
    <row r="202" spans="5:14" x14ac:dyDescent="0.35">
      <c r="E202" t="s">
        <v>53</v>
      </c>
      <c r="F202" t="s">
        <v>31</v>
      </c>
      <c r="G202" t="s">
        <v>12</v>
      </c>
      <c r="H202" t="s">
        <v>13</v>
      </c>
      <c r="I202" t="s">
        <v>14</v>
      </c>
      <c r="J202" t="s">
        <v>15</v>
      </c>
      <c r="K202">
        <v>14637</v>
      </c>
      <c r="L202">
        <v>10</v>
      </c>
      <c r="M202">
        <v>146370</v>
      </c>
      <c r="N202" t="s">
        <v>21</v>
      </c>
    </row>
    <row r="203" spans="5:14" x14ac:dyDescent="0.35">
      <c r="E203" t="s">
        <v>53</v>
      </c>
      <c r="F203" t="s">
        <v>31</v>
      </c>
      <c r="G203" t="s">
        <v>12</v>
      </c>
      <c r="H203" t="s">
        <v>13</v>
      </c>
      <c r="I203" t="s">
        <v>14</v>
      </c>
      <c r="J203" t="s">
        <v>17</v>
      </c>
      <c r="K203">
        <v>5178</v>
      </c>
      <c r="L203">
        <v>20</v>
      </c>
      <c r="M203">
        <v>103560</v>
      </c>
      <c r="N203" t="s">
        <v>18</v>
      </c>
    </row>
    <row r="204" spans="5:14" x14ac:dyDescent="0.35">
      <c r="E204" t="s">
        <v>53</v>
      </c>
      <c r="F204" t="s">
        <v>31</v>
      </c>
      <c r="G204" t="s">
        <v>12</v>
      </c>
      <c r="H204" t="s">
        <v>13</v>
      </c>
      <c r="I204" t="s">
        <v>14</v>
      </c>
      <c r="J204" t="s">
        <v>19</v>
      </c>
      <c r="K204">
        <v>9888</v>
      </c>
      <c r="L204">
        <v>30</v>
      </c>
      <c r="M204">
        <v>296640</v>
      </c>
      <c r="N204" t="s">
        <v>18</v>
      </c>
    </row>
    <row r="205" spans="5:14" x14ac:dyDescent="0.35">
      <c r="E205" t="s">
        <v>53</v>
      </c>
      <c r="F205" t="s">
        <v>31</v>
      </c>
      <c r="G205" t="s">
        <v>12</v>
      </c>
      <c r="H205" t="s">
        <v>13</v>
      </c>
      <c r="I205" t="s">
        <v>14</v>
      </c>
      <c r="J205" t="s">
        <v>20</v>
      </c>
      <c r="K205">
        <v>7939</v>
      </c>
      <c r="L205">
        <v>15</v>
      </c>
      <c r="M205">
        <v>119085</v>
      </c>
      <c r="N205" t="s">
        <v>18</v>
      </c>
    </row>
    <row r="206" spans="5:14" x14ac:dyDescent="0.35">
      <c r="E206" t="s">
        <v>53</v>
      </c>
      <c r="F206" t="s">
        <v>31</v>
      </c>
      <c r="G206" t="s">
        <v>12</v>
      </c>
      <c r="H206" t="s">
        <v>22</v>
      </c>
      <c r="I206" t="s">
        <v>23</v>
      </c>
      <c r="J206" t="s">
        <v>24</v>
      </c>
      <c r="K206">
        <v>12997</v>
      </c>
      <c r="L206">
        <v>2</v>
      </c>
      <c r="M206">
        <v>25994</v>
      </c>
      <c r="N206" t="s">
        <v>16</v>
      </c>
    </row>
    <row r="207" spans="5:14" x14ac:dyDescent="0.35">
      <c r="E207" t="s">
        <v>53</v>
      </c>
      <c r="F207" t="s">
        <v>31</v>
      </c>
      <c r="G207" t="s">
        <v>12</v>
      </c>
      <c r="H207" t="s">
        <v>22</v>
      </c>
      <c r="I207" t="s">
        <v>23</v>
      </c>
      <c r="J207" t="s">
        <v>25</v>
      </c>
      <c r="K207">
        <v>5598</v>
      </c>
      <c r="L207">
        <v>2</v>
      </c>
      <c r="M207">
        <v>11196</v>
      </c>
      <c r="N207" t="s">
        <v>18</v>
      </c>
    </row>
    <row r="208" spans="5:14" x14ac:dyDescent="0.35">
      <c r="E208" t="s">
        <v>53</v>
      </c>
      <c r="F208" t="s">
        <v>31</v>
      </c>
      <c r="G208" t="s">
        <v>12</v>
      </c>
      <c r="H208" t="s">
        <v>22</v>
      </c>
      <c r="I208" t="s">
        <v>23</v>
      </c>
      <c r="J208" t="s">
        <v>26</v>
      </c>
      <c r="K208">
        <v>11114</v>
      </c>
      <c r="L208">
        <v>5</v>
      </c>
      <c r="M208">
        <v>55570</v>
      </c>
      <c r="N208" t="s">
        <v>16</v>
      </c>
    </row>
    <row r="209" spans="5:14" x14ac:dyDescent="0.35">
      <c r="E209" t="s">
        <v>53</v>
      </c>
      <c r="F209" t="s">
        <v>31</v>
      </c>
      <c r="G209" t="s">
        <v>12</v>
      </c>
      <c r="H209" t="s">
        <v>22</v>
      </c>
      <c r="I209" t="s">
        <v>27</v>
      </c>
      <c r="J209" t="s">
        <v>28</v>
      </c>
      <c r="K209">
        <v>13925</v>
      </c>
      <c r="L209">
        <v>3</v>
      </c>
      <c r="M209">
        <v>41775</v>
      </c>
      <c r="N209" t="s">
        <v>16</v>
      </c>
    </row>
    <row r="210" spans="5:14" x14ac:dyDescent="0.35">
      <c r="E210" t="s">
        <v>53</v>
      </c>
      <c r="F210" t="s">
        <v>32</v>
      </c>
      <c r="G210" t="s">
        <v>12</v>
      </c>
      <c r="H210" t="s">
        <v>13</v>
      </c>
      <c r="I210" t="s">
        <v>14</v>
      </c>
      <c r="J210" t="s">
        <v>15</v>
      </c>
      <c r="K210">
        <v>8870</v>
      </c>
      <c r="L210">
        <v>10</v>
      </c>
      <c r="M210">
        <v>88700</v>
      </c>
      <c r="N210" t="s">
        <v>21</v>
      </c>
    </row>
    <row r="211" spans="5:14" x14ac:dyDescent="0.35">
      <c r="E211" t="s">
        <v>53</v>
      </c>
      <c r="F211" t="s">
        <v>32</v>
      </c>
      <c r="G211" t="s">
        <v>12</v>
      </c>
      <c r="H211" t="s">
        <v>13</v>
      </c>
      <c r="I211" t="s">
        <v>14</v>
      </c>
      <c r="J211" t="s">
        <v>17</v>
      </c>
      <c r="K211">
        <v>12191</v>
      </c>
      <c r="L211">
        <v>20</v>
      </c>
      <c r="M211">
        <v>243820</v>
      </c>
      <c r="N211" t="s">
        <v>16</v>
      </c>
    </row>
    <row r="212" spans="5:14" x14ac:dyDescent="0.35">
      <c r="E212" t="s">
        <v>53</v>
      </c>
      <c r="F212" t="s">
        <v>32</v>
      </c>
      <c r="G212" t="s">
        <v>12</v>
      </c>
      <c r="H212" t="s">
        <v>13</v>
      </c>
      <c r="I212" t="s">
        <v>14</v>
      </c>
      <c r="J212" t="s">
        <v>19</v>
      </c>
      <c r="K212">
        <v>12455</v>
      </c>
      <c r="L212">
        <v>30</v>
      </c>
      <c r="M212">
        <v>373650</v>
      </c>
      <c r="N212" t="s">
        <v>18</v>
      </c>
    </row>
    <row r="213" spans="5:14" x14ac:dyDescent="0.35">
      <c r="E213" t="s">
        <v>53</v>
      </c>
      <c r="F213" t="s">
        <v>32</v>
      </c>
      <c r="G213" t="s">
        <v>12</v>
      </c>
      <c r="H213" t="s">
        <v>13</v>
      </c>
      <c r="I213" t="s">
        <v>14</v>
      </c>
      <c r="J213" t="s">
        <v>20</v>
      </c>
      <c r="K213">
        <v>8229</v>
      </c>
      <c r="L213">
        <v>15</v>
      </c>
      <c r="M213">
        <v>123435</v>
      </c>
      <c r="N213" t="s">
        <v>21</v>
      </c>
    </row>
    <row r="214" spans="5:14" x14ac:dyDescent="0.35">
      <c r="E214" t="s">
        <v>53</v>
      </c>
      <c r="F214" t="s">
        <v>32</v>
      </c>
      <c r="G214" t="s">
        <v>12</v>
      </c>
      <c r="H214" t="s">
        <v>22</v>
      </c>
      <c r="I214" t="s">
        <v>23</v>
      </c>
      <c r="J214" t="s">
        <v>24</v>
      </c>
      <c r="K214">
        <v>13205</v>
      </c>
      <c r="L214">
        <v>2</v>
      </c>
      <c r="M214">
        <v>26410</v>
      </c>
      <c r="N214" t="s">
        <v>21</v>
      </c>
    </row>
    <row r="215" spans="5:14" x14ac:dyDescent="0.35">
      <c r="E215" t="s">
        <v>53</v>
      </c>
      <c r="F215" t="s">
        <v>32</v>
      </c>
      <c r="G215" t="s">
        <v>12</v>
      </c>
      <c r="H215" t="s">
        <v>22</v>
      </c>
      <c r="I215" t="s">
        <v>23</v>
      </c>
      <c r="J215" t="s">
        <v>25</v>
      </c>
      <c r="K215">
        <v>11433</v>
      </c>
      <c r="L215">
        <v>2</v>
      </c>
      <c r="M215">
        <v>22866</v>
      </c>
      <c r="N215" t="s">
        <v>16</v>
      </c>
    </row>
    <row r="216" spans="5:14" x14ac:dyDescent="0.35">
      <c r="E216" t="s">
        <v>53</v>
      </c>
      <c r="F216" t="s">
        <v>32</v>
      </c>
      <c r="G216" t="s">
        <v>12</v>
      </c>
      <c r="H216" t="s">
        <v>22</v>
      </c>
      <c r="I216" t="s">
        <v>23</v>
      </c>
      <c r="J216" t="s">
        <v>26</v>
      </c>
      <c r="K216">
        <v>14337</v>
      </c>
      <c r="L216">
        <v>5</v>
      </c>
      <c r="M216">
        <v>71685</v>
      </c>
      <c r="N216" t="s">
        <v>21</v>
      </c>
    </row>
    <row r="217" spans="5:14" x14ac:dyDescent="0.35">
      <c r="E217" t="s">
        <v>53</v>
      </c>
      <c r="F217" t="s">
        <v>32</v>
      </c>
      <c r="G217" t="s">
        <v>12</v>
      </c>
      <c r="H217" t="s">
        <v>22</v>
      </c>
      <c r="I217" t="s">
        <v>27</v>
      </c>
      <c r="J217" t="s">
        <v>28</v>
      </c>
      <c r="K217">
        <v>14782</v>
      </c>
      <c r="L217">
        <v>3</v>
      </c>
      <c r="M217">
        <v>44346</v>
      </c>
      <c r="N217" t="s">
        <v>18</v>
      </c>
    </row>
    <row r="218" spans="5:14" x14ac:dyDescent="0.35">
      <c r="E218" t="s">
        <v>53</v>
      </c>
      <c r="F218" t="s">
        <v>33</v>
      </c>
      <c r="G218" t="s">
        <v>12</v>
      </c>
      <c r="H218" t="s">
        <v>13</v>
      </c>
      <c r="I218" t="s">
        <v>14</v>
      </c>
      <c r="J218" t="s">
        <v>15</v>
      </c>
      <c r="K218">
        <v>12741</v>
      </c>
      <c r="L218">
        <v>10</v>
      </c>
      <c r="M218">
        <v>127410</v>
      </c>
      <c r="N218" t="s">
        <v>16</v>
      </c>
    </row>
    <row r="219" spans="5:14" x14ac:dyDescent="0.35">
      <c r="E219" t="s">
        <v>53</v>
      </c>
      <c r="F219" t="s">
        <v>33</v>
      </c>
      <c r="G219" t="s">
        <v>12</v>
      </c>
      <c r="H219" t="s">
        <v>13</v>
      </c>
      <c r="I219" t="s">
        <v>14</v>
      </c>
      <c r="J219" t="s">
        <v>17</v>
      </c>
      <c r="K219">
        <v>11844</v>
      </c>
      <c r="L219">
        <v>20</v>
      </c>
      <c r="M219">
        <v>236880</v>
      </c>
      <c r="N219" t="s">
        <v>16</v>
      </c>
    </row>
    <row r="220" spans="5:14" x14ac:dyDescent="0.35">
      <c r="E220" t="s">
        <v>53</v>
      </c>
      <c r="F220" t="s">
        <v>33</v>
      </c>
      <c r="G220" t="s">
        <v>12</v>
      </c>
      <c r="H220" t="s">
        <v>13</v>
      </c>
      <c r="I220" t="s">
        <v>14</v>
      </c>
      <c r="J220" t="s">
        <v>19</v>
      </c>
      <c r="K220">
        <v>12338</v>
      </c>
      <c r="L220">
        <v>30</v>
      </c>
      <c r="M220">
        <v>370140</v>
      </c>
      <c r="N220" t="s">
        <v>18</v>
      </c>
    </row>
    <row r="221" spans="5:14" x14ac:dyDescent="0.35">
      <c r="E221" t="s">
        <v>53</v>
      </c>
      <c r="F221" t="s">
        <v>33</v>
      </c>
      <c r="G221" t="s">
        <v>12</v>
      </c>
      <c r="H221" t="s">
        <v>13</v>
      </c>
      <c r="I221" t="s">
        <v>14</v>
      </c>
      <c r="J221" t="s">
        <v>20</v>
      </c>
      <c r="K221">
        <v>11833</v>
      </c>
      <c r="L221">
        <v>15</v>
      </c>
      <c r="M221">
        <v>177495</v>
      </c>
      <c r="N221" t="s">
        <v>21</v>
      </c>
    </row>
    <row r="222" spans="5:14" x14ac:dyDescent="0.35">
      <c r="E222" t="s">
        <v>53</v>
      </c>
      <c r="F222" t="s">
        <v>33</v>
      </c>
      <c r="G222" t="s">
        <v>12</v>
      </c>
      <c r="H222" t="s">
        <v>22</v>
      </c>
      <c r="I222" t="s">
        <v>23</v>
      </c>
      <c r="J222" t="s">
        <v>24</v>
      </c>
      <c r="K222">
        <v>13133</v>
      </c>
      <c r="L222">
        <v>2</v>
      </c>
      <c r="M222">
        <v>26266</v>
      </c>
      <c r="N222" t="s">
        <v>16</v>
      </c>
    </row>
    <row r="223" spans="5:14" x14ac:dyDescent="0.35">
      <c r="E223" t="s">
        <v>53</v>
      </c>
      <c r="F223" t="s">
        <v>33</v>
      </c>
      <c r="G223" t="s">
        <v>12</v>
      </c>
      <c r="H223" t="s">
        <v>22</v>
      </c>
      <c r="I223" t="s">
        <v>23</v>
      </c>
      <c r="J223" t="s">
        <v>25</v>
      </c>
      <c r="K223">
        <v>6299</v>
      </c>
      <c r="L223">
        <v>2</v>
      </c>
      <c r="M223">
        <v>12598</v>
      </c>
      <c r="N223" t="s">
        <v>16</v>
      </c>
    </row>
    <row r="224" spans="5:14" x14ac:dyDescent="0.35">
      <c r="E224" t="s">
        <v>53</v>
      </c>
      <c r="F224" t="s">
        <v>33</v>
      </c>
      <c r="G224" t="s">
        <v>12</v>
      </c>
      <c r="H224" t="s">
        <v>22</v>
      </c>
      <c r="I224" t="s">
        <v>23</v>
      </c>
      <c r="J224" t="s">
        <v>26</v>
      </c>
      <c r="K224">
        <v>10829</v>
      </c>
      <c r="L224">
        <v>5</v>
      </c>
      <c r="M224">
        <v>54145</v>
      </c>
      <c r="N224" t="s">
        <v>21</v>
      </c>
    </row>
    <row r="225" spans="5:14" x14ac:dyDescent="0.35">
      <c r="E225" t="s">
        <v>53</v>
      </c>
      <c r="F225" t="s">
        <v>33</v>
      </c>
      <c r="G225" t="s">
        <v>12</v>
      </c>
      <c r="H225" t="s">
        <v>22</v>
      </c>
      <c r="I225" t="s">
        <v>27</v>
      </c>
      <c r="J225" t="s">
        <v>28</v>
      </c>
      <c r="K225">
        <v>13233</v>
      </c>
      <c r="L225">
        <v>3</v>
      </c>
      <c r="M225">
        <v>39699</v>
      </c>
      <c r="N225" t="s">
        <v>21</v>
      </c>
    </row>
    <row r="226" spans="5:14" x14ac:dyDescent="0.35">
      <c r="E226" t="s">
        <v>53</v>
      </c>
      <c r="F226" t="s">
        <v>34</v>
      </c>
      <c r="G226" t="s">
        <v>12</v>
      </c>
      <c r="H226" t="s">
        <v>13</v>
      </c>
      <c r="I226" t="s">
        <v>14</v>
      </c>
      <c r="J226" t="s">
        <v>15</v>
      </c>
      <c r="K226">
        <v>12142</v>
      </c>
      <c r="L226">
        <v>10</v>
      </c>
      <c r="M226">
        <v>121420</v>
      </c>
      <c r="N226" t="s">
        <v>21</v>
      </c>
    </row>
    <row r="227" spans="5:14" x14ac:dyDescent="0.35">
      <c r="E227" t="s">
        <v>53</v>
      </c>
      <c r="F227" t="s">
        <v>34</v>
      </c>
      <c r="G227" t="s">
        <v>12</v>
      </c>
      <c r="H227" t="s">
        <v>13</v>
      </c>
      <c r="I227" t="s">
        <v>14</v>
      </c>
      <c r="J227" t="s">
        <v>17</v>
      </c>
      <c r="K227">
        <v>8475</v>
      </c>
      <c r="L227">
        <v>20</v>
      </c>
      <c r="M227">
        <v>169500</v>
      </c>
      <c r="N227" t="s">
        <v>18</v>
      </c>
    </row>
    <row r="228" spans="5:14" x14ac:dyDescent="0.35">
      <c r="E228" t="s">
        <v>53</v>
      </c>
      <c r="F228" t="s">
        <v>34</v>
      </c>
      <c r="G228" t="s">
        <v>12</v>
      </c>
      <c r="H228" t="s">
        <v>13</v>
      </c>
      <c r="I228" t="s">
        <v>14</v>
      </c>
      <c r="J228" t="s">
        <v>19</v>
      </c>
      <c r="K228">
        <v>5173</v>
      </c>
      <c r="L228">
        <v>30</v>
      </c>
      <c r="M228">
        <v>155190</v>
      </c>
      <c r="N228" t="s">
        <v>16</v>
      </c>
    </row>
    <row r="229" spans="5:14" x14ac:dyDescent="0.35">
      <c r="E229" t="s">
        <v>53</v>
      </c>
      <c r="F229" t="s">
        <v>34</v>
      </c>
      <c r="G229" t="s">
        <v>12</v>
      </c>
      <c r="H229" t="s">
        <v>13</v>
      </c>
      <c r="I229" t="s">
        <v>14</v>
      </c>
      <c r="J229" t="s">
        <v>20</v>
      </c>
      <c r="K229">
        <v>13609</v>
      </c>
      <c r="L229">
        <v>15</v>
      </c>
      <c r="M229">
        <v>204135</v>
      </c>
      <c r="N229" t="s">
        <v>21</v>
      </c>
    </row>
    <row r="230" spans="5:14" x14ac:dyDescent="0.35">
      <c r="E230" t="s">
        <v>53</v>
      </c>
      <c r="F230" t="s">
        <v>34</v>
      </c>
      <c r="G230" t="s">
        <v>12</v>
      </c>
      <c r="H230" t="s">
        <v>22</v>
      </c>
      <c r="I230" t="s">
        <v>23</v>
      </c>
      <c r="J230" t="s">
        <v>24</v>
      </c>
      <c r="K230">
        <v>13681</v>
      </c>
      <c r="L230">
        <v>2</v>
      </c>
      <c r="M230">
        <v>27362</v>
      </c>
      <c r="N230" t="s">
        <v>16</v>
      </c>
    </row>
    <row r="231" spans="5:14" x14ac:dyDescent="0.35">
      <c r="E231" t="s">
        <v>53</v>
      </c>
      <c r="F231" t="s">
        <v>34</v>
      </c>
      <c r="G231" t="s">
        <v>12</v>
      </c>
      <c r="H231" t="s">
        <v>22</v>
      </c>
      <c r="I231" t="s">
        <v>23</v>
      </c>
      <c r="J231" t="s">
        <v>25</v>
      </c>
      <c r="K231">
        <v>6894</v>
      </c>
      <c r="L231">
        <v>2</v>
      </c>
      <c r="M231">
        <v>13788</v>
      </c>
      <c r="N231" t="s">
        <v>16</v>
      </c>
    </row>
    <row r="232" spans="5:14" x14ac:dyDescent="0.35">
      <c r="E232" t="s">
        <v>53</v>
      </c>
      <c r="F232" t="s">
        <v>34</v>
      </c>
      <c r="G232" t="s">
        <v>12</v>
      </c>
      <c r="H232" t="s">
        <v>22</v>
      </c>
      <c r="I232" t="s">
        <v>23</v>
      </c>
      <c r="J232" t="s">
        <v>26</v>
      </c>
      <c r="K232">
        <v>12062</v>
      </c>
      <c r="L232">
        <v>5</v>
      </c>
      <c r="M232">
        <v>60310</v>
      </c>
      <c r="N232" t="s">
        <v>21</v>
      </c>
    </row>
    <row r="233" spans="5:14" x14ac:dyDescent="0.35">
      <c r="E233" t="s">
        <v>53</v>
      </c>
      <c r="F233" t="s">
        <v>34</v>
      </c>
      <c r="G233" t="s">
        <v>12</v>
      </c>
      <c r="H233" t="s">
        <v>22</v>
      </c>
      <c r="I233" t="s">
        <v>27</v>
      </c>
      <c r="J233" t="s">
        <v>28</v>
      </c>
      <c r="K233">
        <v>6420</v>
      </c>
      <c r="L233">
        <v>3</v>
      </c>
      <c r="M233">
        <v>19260</v>
      </c>
      <c r="N233" t="s">
        <v>18</v>
      </c>
    </row>
    <row r="234" spans="5:14" x14ac:dyDescent="0.35">
      <c r="E234" t="s">
        <v>53</v>
      </c>
      <c r="F234" t="s">
        <v>35</v>
      </c>
      <c r="G234" t="s">
        <v>36</v>
      </c>
      <c r="H234" t="s">
        <v>13</v>
      </c>
      <c r="I234" t="s">
        <v>14</v>
      </c>
      <c r="J234" t="s">
        <v>15</v>
      </c>
      <c r="K234">
        <v>5223</v>
      </c>
      <c r="L234">
        <v>10</v>
      </c>
      <c r="M234">
        <v>52230</v>
      </c>
      <c r="N234" t="s">
        <v>18</v>
      </c>
    </row>
    <row r="235" spans="5:14" x14ac:dyDescent="0.35">
      <c r="E235" t="s">
        <v>53</v>
      </c>
      <c r="F235" t="s">
        <v>35</v>
      </c>
      <c r="G235" t="s">
        <v>36</v>
      </c>
      <c r="H235" t="s">
        <v>13</v>
      </c>
      <c r="I235" t="s">
        <v>14</v>
      </c>
      <c r="J235" t="s">
        <v>17</v>
      </c>
      <c r="K235">
        <v>8247</v>
      </c>
      <c r="L235">
        <v>20</v>
      </c>
      <c r="M235">
        <v>164940</v>
      </c>
      <c r="N235" t="s">
        <v>21</v>
      </c>
    </row>
    <row r="236" spans="5:14" x14ac:dyDescent="0.35">
      <c r="E236" t="s">
        <v>53</v>
      </c>
      <c r="F236" t="s">
        <v>35</v>
      </c>
      <c r="G236" t="s">
        <v>36</v>
      </c>
      <c r="H236" t="s">
        <v>13</v>
      </c>
      <c r="I236" t="s">
        <v>14</v>
      </c>
      <c r="J236" t="s">
        <v>19</v>
      </c>
      <c r="K236">
        <v>6362</v>
      </c>
      <c r="L236">
        <v>30</v>
      </c>
      <c r="M236">
        <v>190860</v>
      </c>
      <c r="N236" t="s">
        <v>16</v>
      </c>
    </row>
    <row r="237" spans="5:14" x14ac:dyDescent="0.35">
      <c r="E237" t="s">
        <v>53</v>
      </c>
      <c r="F237" t="s">
        <v>35</v>
      </c>
      <c r="G237" t="s">
        <v>36</v>
      </c>
      <c r="H237" t="s">
        <v>13</v>
      </c>
      <c r="I237" t="s">
        <v>14</v>
      </c>
      <c r="J237" t="s">
        <v>20</v>
      </c>
      <c r="K237">
        <v>10685</v>
      </c>
      <c r="L237">
        <v>15</v>
      </c>
      <c r="M237">
        <v>160275</v>
      </c>
      <c r="N237" t="s">
        <v>16</v>
      </c>
    </row>
    <row r="238" spans="5:14" x14ac:dyDescent="0.35">
      <c r="E238" t="s">
        <v>53</v>
      </c>
      <c r="F238" t="s">
        <v>35</v>
      </c>
      <c r="G238" t="s">
        <v>36</v>
      </c>
      <c r="H238" t="s">
        <v>22</v>
      </c>
      <c r="I238" t="s">
        <v>23</v>
      </c>
      <c r="J238" t="s">
        <v>24</v>
      </c>
      <c r="K238">
        <v>6540</v>
      </c>
      <c r="L238">
        <v>2</v>
      </c>
      <c r="M238">
        <v>13080</v>
      </c>
      <c r="N238" t="s">
        <v>18</v>
      </c>
    </row>
    <row r="239" spans="5:14" x14ac:dyDescent="0.35">
      <c r="E239" t="s">
        <v>53</v>
      </c>
      <c r="F239" t="s">
        <v>35</v>
      </c>
      <c r="G239" t="s">
        <v>36</v>
      </c>
      <c r="H239" t="s">
        <v>22</v>
      </c>
      <c r="I239" t="s">
        <v>23</v>
      </c>
      <c r="J239" t="s">
        <v>25</v>
      </c>
      <c r="K239">
        <v>13600</v>
      </c>
      <c r="L239">
        <v>2</v>
      </c>
      <c r="M239">
        <v>27200</v>
      </c>
      <c r="N239" t="s">
        <v>21</v>
      </c>
    </row>
    <row r="240" spans="5:14" x14ac:dyDescent="0.35">
      <c r="E240" t="s">
        <v>53</v>
      </c>
      <c r="F240" t="s">
        <v>35</v>
      </c>
      <c r="G240" t="s">
        <v>36</v>
      </c>
      <c r="H240" t="s">
        <v>22</v>
      </c>
      <c r="I240" t="s">
        <v>23</v>
      </c>
      <c r="J240" t="s">
        <v>26</v>
      </c>
      <c r="K240">
        <v>10270</v>
      </c>
      <c r="L240">
        <v>5</v>
      </c>
      <c r="M240">
        <v>51350</v>
      </c>
      <c r="N240" t="s">
        <v>21</v>
      </c>
    </row>
    <row r="241" spans="5:14" x14ac:dyDescent="0.35">
      <c r="E241" t="s">
        <v>53</v>
      </c>
      <c r="F241" t="s">
        <v>35</v>
      </c>
      <c r="G241" t="s">
        <v>36</v>
      </c>
      <c r="H241" t="s">
        <v>22</v>
      </c>
      <c r="I241" t="s">
        <v>27</v>
      </c>
      <c r="J241" t="s">
        <v>28</v>
      </c>
      <c r="K241">
        <v>7916</v>
      </c>
      <c r="L241">
        <v>3</v>
      </c>
      <c r="M241">
        <v>23748</v>
      </c>
      <c r="N241" t="s">
        <v>21</v>
      </c>
    </row>
    <row r="242" spans="5:14" x14ac:dyDescent="0.35">
      <c r="E242" t="s">
        <v>53</v>
      </c>
      <c r="F242" t="s">
        <v>37</v>
      </c>
      <c r="G242" t="s">
        <v>36</v>
      </c>
      <c r="H242" t="s">
        <v>13</v>
      </c>
      <c r="I242" t="s">
        <v>14</v>
      </c>
      <c r="J242" t="s">
        <v>15</v>
      </c>
      <c r="K242">
        <v>8485</v>
      </c>
      <c r="L242">
        <v>10</v>
      </c>
      <c r="M242">
        <v>84850</v>
      </c>
      <c r="N242" t="s">
        <v>16</v>
      </c>
    </row>
    <row r="243" spans="5:14" x14ac:dyDescent="0.35">
      <c r="E243" t="s">
        <v>53</v>
      </c>
      <c r="F243" t="s">
        <v>37</v>
      </c>
      <c r="G243" t="s">
        <v>36</v>
      </c>
      <c r="H243" t="s">
        <v>13</v>
      </c>
      <c r="I243" t="s">
        <v>14</v>
      </c>
      <c r="J243" t="s">
        <v>17</v>
      </c>
      <c r="K243">
        <v>11629</v>
      </c>
      <c r="L243">
        <v>20</v>
      </c>
      <c r="M243">
        <v>232580</v>
      </c>
      <c r="N243" t="s">
        <v>18</v>
      </c>
    </row>
    <row r="244" spans="5:14" x14ac:dyDescent="0.35">
      <c r="E244" t="s">
        <v>53</v>
      </c>
      <c r="F244" t="s">
        <v>37</v>
      </c>
      <c r="G244" t="s">
        <v>36</v>
      </c>
      <c r="H244" t="s">
        <v>13</v>
      </c>
      <c r="I244" t="s">
        <v>14</v>
      </c>
      <c r="J244" t="s">
        <v>19</v>
      </c>
      <c r="K244">
        <v>5706</v>
      </c>
      <c r="L244">
        <v>30</v>
      </c>
      <c r="M244">
        <v>171180</v>
      </c>
      <c r="N244" t="s">
        <v>16</v>
      </c>
    </row>
    <row r="245" spans="5:14" x14ac:dyDescent="0.35">
      <c r="E245" t="s">
        <v>53</v>
      </c>
      <c r="F245" t="s">
        <v>37</v>
      </c>
      <c r="G245" t="s">
        <v>36</v>
      </c>
      <c r="H245" t="s">
        <v>13</v>
      </c>
      <c r="I245" t="s">
        <v>14</v>
      </c>
      <c r="J245" t="s">
        <v>20</v>
      </c>
      <c r="K245">
        <v>13264</v>
      </c>
      <c r="L245">
        <v>15</v>
      </c>
      <c r="M245">
        <v>198960</v>
      </c>
      <c r="N245" t="s">
        <v>16</v>
      </c>
    </row>
    <row r="246" spans="5:14" x14ac:dyDescent="0.35">
      <c r="E246" t="s">
        <v>53</v>
      </c>
      <c r="F246" t="s">
        <v>37</v>
      </c>
      <c r="G246" t="s">
        <v>36</v>
      </c>
      <c r="H246" t="s">
        <v>22</v>
      </c>
      <c r="I246" t="s">
        <v>23</v>
      </c>
      <c r="J246" t="s">
        <v>24</v>
      </c>
      <c r="K246">
        <v>12938</v>
      </c>
      <c r="L246">
        <v>2</v>
      </c>
      <c r="M246">
        <v>25876</v>
      </c>
      <c r="N246" t="s">
        <v>18</v>
      </c>
    </row>
    <row r="247" spans="5:14" x14ac:dyDescent="0.35">
      <c r="E247" t="s">
        <v>53</v>
      </c>
      <c r="F247" t="s">
        <v>37</v>
      </c>
      <c r="G247" t="s">
        <v>36</v>
      </c>
      <c r="H247" t="s">
        <v>22</v>
      </c>
      <c r="I247" t="s">
        <v>23</v>
      </c>
      <c r="J247" t="s">
        <v>25</v>
      </c>
      <c r="K247">
        <v>7757</v>
      </c>
      <c r="L247">
        <v>2</v>
      </c>
      <c r="M247">
        <v>15514</v>
      </c>
      <c r="N247" t="s">
        <v>16</v>
      </c>
    </row>
    <row r="248" spans="5:14" x14ac:dyDescent="0.35">
      <c r="E248" t="s">
        <v>53</v>
      </c>
      <c r="F248" t="s">
        <v>37</v>
      </c>
      <c r="G248" t="s">
        <v>36</v>
      </c>
      <c r="H248" t="s">
        <v>22</v>
      </c>
      <c r="I248" t="s">
        <v>23</v>
      </c>
      <c r="J248" t="s">
        <v>26</v>
      </c>
      <c r="K248">
        <v>14903</v>
      </c>
      <c r="L248">
        <v>5</v>
      </c>
      <c r="M248">
        <v>74515</v>
      </c>
      <c r="N248" t="s">
        <v>16</v>
      </c>
    </row>
    <row r="249" spans="5:14" x14ac:dyDescent="0.35">
      <c r="E249" t="s">
        <v>53</v>
      </c>
      <c r="F249" t="s">
        <v>37</v>
      </c>
      <c r="G249" t="s">
        <v>36</v>
      </c>
      <c r="H249" t="s">
        <v>22</v>
      </c>
      <c r="I249" t="s">
        <v>27</v>
      </c>
      <c r="J249" t="s">
        <v>28</v>
      </c>
      <c r="K249">
        <v>6545</v>
      </c>
      <c r="L249">
        <v>3</v>
      </c>
      <c r="M249">
        <v>19635</v>
      </c>
      <c r="N249" t="s">
        <v>21</v>
      </c>
    </row>
    <row r="250" spans="5:14" x14ac:dyDescent="0.35">
      <c r="E250" t="s">
        <v>53</v>
      </c>
      <c r="F250" t="s">
        <v>38</v>
      </c>
      <c r="G250" t="s">
        <v>36</v>
      </c>
      <c r="H250" t="s">
        <v>13</v>
      </c>
      <c r="I250" t="s">
        <v>14</v>
      </c>
      <c r="J250" t="s">
        <v>15</v>
      </c>
      <c r="K250">
        <v>14795</v>
      </c>
      <c r="L250">
        <v>10</v>
      </c>
      <c r="M250">
        <v>147950</v>
      </c>
      <c r="N250" t="s">
        <v>21</v>
      </c>
    </row>
    <row r="251" spans="5:14" x14ac:dyDescent="0.35">
      <c r="E251" t="s">
        <v>53</v>
      </c>
      <c r="F251" t="s">
        <v>38</v>
      </c>
      <c r="G251" t="s">
        <v>36</v>
      </c>
      <c r="H251" t="s">
        <v>13</v>
      </c>
      <c r="I251" t="s">
        <v>14</v>
      </c>
      <c r="J251" t="s">
        <v>17</v>
      </c>
      <c r="K251">
        <v>9604</v>
      </c>
      <c r="L251">
        <v>20</v>
      </c>
      <c r="M251">
        <v>192080</v>
      </c>
      <c r="N251" t="s">
        <v>21</v>
      </c>
    </row>
    <row r="252" spans="5:14" x14ac:dyDescent="0.35">
      <c r="E252" t="s">
        <v>53</v>
      </c>
      <c r="F252" t="s">
        <v>38</v>
      </c>
      <c r="G252" t="s">
        <v>36</v>
      </c>
      <c r="H252" t="s">
        <v>13</v>
      </c>
      <c r="I252" t="s">
        <v>14</v>
      </c>
      <c r="J252" t="s">
        <v>19</v>
      </c>
      <c r="K252">
        <v>9255</v>
      </c>
      <c r="L252">
        <v>30</v>
      </c>
      <c r="M252">
        <v>277650</v>
      </c>
      <c r="N252" t="s">
        <v>16</v>
      </c>
    </row>
    <row r="253" spans="5:14" x14ac:dyDescent="0.35">
      <c r="E253" t="s">
        <v>53</v>
      </c>
      <c r="F253" t="s">
        <v>38</v>
      </c>
      <c r="G253" t="s">
        <v>36</v>
      </c>
      <c r="H253" t="s">
        <v>13</v>
      </c>
      <c r="I253" t="s">
        <v>14</v>
      </c>
      <c r="J253" t="s">
        <v>20</v>
      </c>
      <c r="K253">
        <v>13332</v>
      </c>
      <c r="L253">
        <v>15</v>
      </c>
      <c r="M253">
        <v>199980</v>
      </c>
      <c r="N253" t="s">
        <v>21</v>
      </c>
    </row>
    <row r="254" spans="5:14" x14ac:dyDescent="0.35">
      <c r="E254" t="s">
        <v>53</v>
      </c>
      <c r="F254" t="s">
        <v>38</v>
      </c>
      <c r="G254" t="s">
        <v>36</v>
      </c>
      <c r="H254" t="s">
        <v>22</v>
      </c>
      <c r="I254" t="s">
        <v>23</v>
      </c>
      <c r="J254" t="s">
        <v>24</v>
      </c>
      <c r="K254">
        <v>11441</v>
      </c>
      <c r="L254">
        <v>2</v>
      </c>
      <c r="M254">
        <v>22882</v>
      </c>
      <c r="N254" t="s">
        <v>18</v>
      </c>
    </row>
    <row r="255" spans="5:14" x14ac:dyDescent="0.35">
      <c r="E255" t="s">
        <v>53</v>
      </c>
      <c r="F255" t="s">
        <v>38</v>
      </c>
      <c r="G255" t="s">
        <v>36</v>
      </c>
      <c r="H255" t="s">
        <v>22</v>
      </c>
      <c r="I255" t="s">
        <v>23</v>
      </c>
      <c r="J255" t="s">
        <v>25</v>
      </c>
      <c r="K255">
        <v>12278</v>
      </c>
      <c r="L255">
        <v>2</v>
      </c>
      <c r="M255">
        <v>24556</v>
      </c>
      <c r="N255" t="s">
        <v>21</v>
      </c>
    </row>
    <row r="256" spans="5:14" x14ac:dyDescent="0.35">
      <c r="E256" t="s">
        <v>53</v>
      </c>
      <c r="F256" t="s">
        <v>38</v>
      </c>
      <c r="G256" t="s">
        <v>36</v>
      </c>
      <c r="H256" t="s">
        <v>22</v>
      </c>
      <c r="I256" t="s">
        <v>23</v>
      </c>
      <c r="J256" t="s">
        <v>26</v>
      </c>
      <c r="K256">
        <v>14112</v>
      </c>
      <c r="L256">
        <v>5</v>
      </c>
      <c r="M256">
        <v>70560</v>
      </c>
      <c r="N256" t="s">
        <v>18</v>
      </c>
    </row>
    <row r="257" spans="5:14" x14ac:dyDescent="0.35">
      <c r="E257" t="s">
        <v>53</v>
      </c>
      <c r="F257" t="s">
        <v>38</v>
      </c>
      <c r="G257" t="s">
        <v>36</v>
      </c>
      <c r="H257" t="s">
        <v>22</v>
      </c>
      <c r="I257" t="s">
        <v>27</v>
      </c>
      <c r="J257" t="s">
        <v>28</v>
      </c>
      <c r="K257">
        <v>12886</v>
      </c>
      <c r="L257">
        <v>3</v>
      </c>
      <c r="M257">
        <v>38658</v>
      </c>
      <c r="N257" t="s">
        <v>21</v>
      </c>
    </row>
    <row r="258" spans="5:14" x14ac:dyDescent="0.35">
      <c r="E258" t="s">
        <v>53</v>
      </c>
      <c r="F258" t="s">
        <v>39</v>
      </c>
      <c r="G258" t="s">
        <v>36</v>
      </c>
      <c r="H258" t="s">
        <v>13</v>
      </c>
      <c r="I258" t="s">
        <v>14</v>
      </c>
      <c r="J258" t="s">
        <v>15</v>
      </c>
      <c r="K258">
        <v>14813</v>
      </c>
      <c r="L258">
        <v>10</v>
      </c>
      <c r="M258">
        <v>148130</v>
      </c>
      <c r="N258" t="s">
        <v>21</v>
      </c>
    </row>
    <row r="259" spans="5:14" x14ac:dyDescent="0.35">
      <c r="E259" t="s">
        <v>53</v>
      </c>
      <c r="F259" t="s">
        <v>39</v>
      </c>
      <c r="G259" t="s">
        <v>36</v>
      </c>
      <c r="H259" t="s">
        <v>13</v>
      </c>
      <c r="I259" t="s">
        <v>14</v>
      </c>
      <c r="J259" t="s">
        <v>17</v>
      </c>
      <c r="K259">
        <v>14071</v>
      </c>
      <c r="L259">
        <v>20</v>
      </c>
      <c r="M259">
        <v>281420</v>
      </c>
      <c r="N259" t="s">
        <v>21</v>
      </c>
    </row>
    <row r="260" spans="5:14" x14ac:dyDescent="0.35">
      <c r="E260" t="s">
        <v>53</v>
      </c>
      <c r="F260" t="s">
        <v>39</v>
      </c>
      <c r="G260" t="s">
        <v>36</v>
      </c>
      <c r="H260" t="s">
        <v>13</v>
      </c>
      <c r="I260" t="s">
        <v>14</v>
      </c>
      <c r="J260" t="s">
        <v>19</v>
      </c>
      <c r="K260">
        <v>11021</v>
      </c>
      <c r="L260">
        <v>30</v>
      </c>
      <c r="M260">
        <v>330630</v>
      </c>
      <c r="N260" t="s">
        <v>18</v>
      </c>
    </row>
    <row r="261" spans="5:14" x14ac:dyDescent="0.35">
      <c r="E261" t="s">
        <v>53</v>
      </c>
      <c r="F261" t="s">
        <v>39</v>
      </c>
      <c r="G261" t="s">
        <v>36</v>
      </c>
      <c r="H261" t="s">
        <v>13</v>
      </c>
      <c r="I261" t="s">
        <v>14</v>
      </c>
      <c r="J261" t="s">
        <v>20</v>
      </c>
      <c r="K261">
        <v>9717</v>
      </c>
      <c r="L261">
        <v>15</v>
      </c>
      <c r="M261">
        <v>145755</v>
      </c>
      <c r="N261" t="s">
        <v>16</v>
      </c>
    </row>
    <row r="262" spans="5:14" x14ac:dyDescent="0.35">
      <c r="E262" t="s">
        <v>53</v>
      </c>
      <c r="F262" t="s">
        <v>39</v>
      </c>
      <c r="G262" t="s">
        <v>36</v>
      </c>
      <c r="H262" t="s">
        <v>22</v>
      </c>
      <c r="I262" t="s">
        <v>23</v>
      </c>
      <c r="J262" t="s">
        <v>24</v>
      </c>
      <c r="K262">
        <v>8105</v>
      </c>
      <c r="L262">
        <v>2</v>
      </c>
      <c r="M262">
        <v>16210</v>
      </c>
      <c r="N262" t="s">
        <v>16</v>
      </c>
    </row>
    <row r="263" spans="5:14" x14ac:dyDescent="0.35">
      <c r="E263" t="s">
        <v>53</v>
      </c>
      <c r="F263" t="s">
        <v>39</v>
      </c>
      <c r="G263" t="s">
        <v>36</v>
      </c>
      <c r="H263" t="s">
        <v>22</v>
      </c>
      <c r="I263" t="s">
        <v>23</v>
      </c>
      <c r="J263" t="s">
        <v>25</v>
      </c>
      <c r="K263">
        <v>9057</v>
      </c>
      <c r="L263">
        <v>2</v>
      </c>
      <c r="M263">
        <v>18114</v>
      </c>
      <c r="N263" t="s">
        <v>21</v>
      </c>
    </row>
    <row r="264" spans="5:14" x14ac:dyDescent="0.35">
      <c r="E264" t="s">
        <v>53</v>
      </c>
      <c r="F264" t="s">
        <v>39</v>
      </c>
      <c r="G264" t="s">
        <v>36</v>
      </c>
      <c r="H264" t="s">
        <v>22</v>
      </c>
      <c r="I264" t="s">
        <v>23</v>
      </c>
      <c r="J264" t="s">
        <v>26</v>
      </c>
      <c r="K264">
        <v>9586</v>
      </c>
      <c r="L264">
        <v>5</v>
      </c>
      <c r="M264">
        <v>47930</v>
      </c>
      <c r="N264" t="s">
        <v>18</v>
      </c>
    </row>
    <row r="265" spans="5:14" x14ac:dyDescent="0.35">
      <c r="E265" t="s">
        <v>53</v>
      </c>
      <c r="F265" t="s">
        <v>39</v>
      </c>
      <c r="G265" t="s">
        <v>36</v>
      </c>
      <c r="H265" t="s">
        <v>22</v>
      </c>
      <c r="I265" t="s">
        <v>27</v>
      </c>
      <c r="J265" t="s">
        <v>28</v>
      </c>
      <c r="K265">
        <v>11811</v>
      </c>
      <c r="L265">
        <v>3</v>
      </c>
      <c r="M265">
        <v>35433</v>
      </c>
      <c r="N265" t="s">
        <v>16</v>
      </c>
    </row>
    <row r="266" spans="5:14" x14ac:dyDescent="0.35">
      <c r="E266" t="s">
        <v>53</v>
      </c>
      <c r="F266" t="s">
        <v>40</v>
      </c>
      <c r="G266" t="s">
        <v>36</v>
      </c>
      <c r="H266" t="s">
        <v>13</v>
      </c>
      <c r="I266" t="s">
        <v>14</v>
      </c>
      <c r="J266" t="s">
        <v>15</v>
      </c>
      <c r="K266">
        <v>9011</v>
      </c>
      <c r="L266">
        <v>10</v>
      </c>
      <c r="M266">
        <v>90110</v>
      </c>
      <c r="N266" t="s">
        <v>21</v>
      </c>
    </row>
    <row r="267" spans="5:14" x14ac:dyDescent="0.35">
      <c r="E267" t="s">
        <v>53</v>
      </c>
      <c r="F267" t="s">
        <v>40</v>
      </c>
      <c r="G267" t="s">
        <v>36</v>
      </c>
      <c r="H267" t="s">
        <v>13</v>
      </c>
      <c r="I267" t="s">
        <v>14</v>
      </c>
      <c r="J267" t="s">
        <v>17</v>
      </c>
      <c r="K267">
        <v>10365</v>
      </c>
      <c r="L267">
        <v>20</v>
      </c>
      <c r="M267">
        <v>207300</v>
      </c>
      <c r="N267" t="s">
        <v>18</v>
      </c>
    </row>
    <row r="268" spans="5:14" x14ac:dyDescent="0.35">
      <c r="E268" t="s">
        <v>53</v>
      </c>
      <c r="F268" t="s">
        <v>40</v>
      </c>
      <c r="G268" t="s">
        <v>36</v>
      </c>
      <c r="H268" t="s">
        <v>13</v>
      </c>
      <c r="I268" t="s">
        <v>14</v>
      </c>
      <c r="J268" t="s">
        <v>19</v>
      </c>
      <c r="K268">
        <v>14956</v>
      </c>
      <c r="L268">
        <v>30</v>
      </c>
      <c r="M268">
        <v>448680</v>
      </c>
      <c r="N268" t="s">
        <v>16</v>
      </c>
    </row>
    <row r="269" spans="5:14" x14ac:dyDescent="0.35">
      <c r="E269" t="s">
        <v>53</v>
      </c>
      <c r="F269" t="s">
        <v>40</v>
      </c>
      <c r="G269" t="s">
        <v>36</v>
      </c>
      <c r="H269" t="s">
        <v>13</v>
      </c>
      <c r="I269" t="s">
        <v>14</v>
      </c>
      <c r="J269" t="s">
        <v>20</v>
      </c>
      <c r="K269">
        <v>8359</v>
      </c>
      <c r="L269">
        <v>15</v>
      </c>
      <c r="M269">
        <v>125385</v>
      </c>
      <c r="N269" t="s">
        <v>16</v>
      </c>
    </row>
    <row r="270" spans="5:14" x14ac:dyDescent="0.35">
      <c r="E270" t="s">
        <v>53</v>
      </c>
      <c r="F270" t="s">
        <v>40</v>
      </c>
      <c r="G270" t="s">
        <v>36</v>
      </c>
      <c r="H270" t="s">
        <v>22</v>
      </c>
      <c r="I270" t="s">
        <v>23</v>
      </c>
      <c r="J270" t="s">
        <v>24</v>
      </c>
      <c r="K270">
        <v>8196</v>
      </c>
      <c r="L270">
        <v>2</v>
      </c>
      <c r="M270">
        <v>16392</v>
      </c>
      <c r="N270" t="s">
        <v>21</v>
      </c>
    </row>
    <row r="271" spans="5:14" x14ac:dyDescent="0.35">
      <c r="E271" t="s">
        <v>53</v>
      </c>
      <c r="F271" t="s">
        <v>40</v>
      </c>
      <c r="G271" t="s">
        <v>36</v>
      </c>
      <c r="H271" t="s">
        <v>22</v>
      </c>
      <c r="I271" t="s">
        <v>23</v>
      </c>
      <c r="J271" t="s">
        <v>25</v>
      </c>
      <c r="K271">
        <v>8916</v>
      </c>
      <c r="L271">
        <v>2</v>
      </c>
      <c r="M271">
        <v>17832</v>
      </c>
      <c r="N271" t="s">
        <v>18</v>
      </c>
    </row>
    <row r="272" spans="5:14" x14ac:dyDescent="0.35">
      <c r="E272" t="s">
        <v>53</v>
      </c>
      <c r="F272" t="s">
        <v>40</v>
      </c>
      <c r="G272" t="s">
        <v>36</v>
      </c>
      <c r="H272" t="s">
        <v>22</v>
      </c>
      <c r="I272" t="s">
        <v>23</v>
      </c>
      <c r="J272" t="s">
        <v>26</v>
      </c>
      <c r="K272">
        <v>8708</v>
      </c>
      <c r="L272">
        <v>5</v>
      </c>
      <c r="M272">
        <v>43540</v>
      </c>
      <c r="N272" t="s">
        <v>16</v>
      </c>
    </row>
    <row r="273" spans="5:14" x14ac:dyDescent="0.35">
      <c r="E273" t="s">
        <v>53</v>
      </c>
      <c r="F273" t="s">
        <v>40</v>
      </c>
      <c r="G273" t="s">
        <v>36</v>
      </c>
      <c r="H273" t="s">
        <v>22</v>
      </c>
      <c r="I273" t="s">
        <v>27</v>
      </c>
      <c r="J273" t="s">
        <v>28</v>
      </c>
      <c r="K273">
        <v>6737</v>
      </c>
      <c r="L273">
        <v>3</v>
      </c>
      <c r="M273">
        <v>20211</v>
      </c>
      <c r="N273" t="s">
        <v>16</v>
      </c>
    </row>
    <row r="274" spans="5:14" x14ac:dyDescent="0.35">
      <c r="E274" t="s">
        <v>53</v>
      </c>
      <c r="F274" t="s">
        <v>41</v>
      </c>
      <c r="G274" t="s">
        <v>42</v>
      </c>
      <c r="H274" t="s">
        <v>13</v>
      </c>
      <c r="I274" t="s">
        <v>14</v>
      </c>
      <c r="J274" t="s">
        <v>15</v>
      </c>
      <c r="K274">
        <v>11267</v>
      </c>
      <c r="L274">
        <v>10</v>
      </c>
      <c r="M274">
        <v>112670</v>
      </c>
      <c r="N274" t="s">
        <v>16</v>
      </c>
    </row>
    <row r="275" spans="5:14" x14ac:dyDescent="0.35">
      <c r="E275" t="s">
        <v>53</v>
      </c>
      <c r="F275" t="s">
        <v>41</v>
      </c>
      <c r="G275" t="s">
        <v>42</v>
      </c>
      <c r="H275" t="s">
        <v>13</v>
      </c>
      <c r="I275" t="s">
        <v>14</v>
      </c>
      <c r="J275" t="s">
        <v>17</v>
      </c>
      <c r="K275">
        <v>9174</v>
      </c>
      <c r="L275">
        <v>20</v>
      </c>
      <c r="M275">
        <v>183480</v>
      </c>
      <c r="N275" t="s">
        <v>18</v>
      </c>
    </row>
    <row r="276" spans="5:14" x14ac:dyDescent="0.35">
      <c r="E276" t="s">
        <v>53</v>
      </c>
      <c r="F276" t="s">
        <v>41</v>
      </c>
      <c r="G276" t="s">
        <v>42</v>
      </c>
      <c r="H276" t="s">
        <v>13</v>
      </c>
      <c r="I276" t="s">
        <v>14</v>
      </c>
      <c r="J276" t="s">
        <v>19</v>
      </c>
      <c r="K276">
        <v>12660</v>
      </c>
      <c r="L276">
        <v>30</v>
      </c>
      <c r="M276">
        <v>379800</v>
      </c>
      <c r="N276" t="s">
        <v>16</v>
      </c>
    </row>
    <row r="277" spans="5:14" x14ac:dyDescent="0.35">
      <c r="E277" t="s">
        <v>53</v>
      </c>
      <c r="F277" t="s">
        <v>41</v>
      </c>
      <c r="G277" t="s">
        <v>42</v>
      </c>
      <c r="H277" t="s">
        <v>13</v>
      </c>
      <c r="I277" t="s">
        <v>14</v>
      </c>
      <c r="J277" t="s">
        <v>20</v>
      </c>
      <c r="K277">
        <v>7310</v>
      </c>
      <c r="L277">
        <v>15</v>
      </c>
      <c r="M277">
        <v>109650</v>
      </c>
      <c r="N277" t="s">
        <v>21</v>
      </c>
    </row>
    <row r="278" spans="5:14" x14ac:dyDescent="0.35">
      <c r="E278" t="s">
        <v>53</v>
      </c>
      <c r="F278" t="s">
        <v>41</v>
      </c>
      <c r="G278" t="s">
        <v>42</v>
      </c>
      <c r="H278" t="s">
        <v>22</v>
      </c>
      <c r="I278" t="s">
        <v>23</v>
      </c>
      <c r="J278" t="s">
        <v>24</v>
      </c>
      <c r="K278">
        <v>14539</v>
      </c>
      <c r="L278">
        <v>2</v>
      </c>
      <c r="M278">
        <v>29078</v>
      </c>
      <c r="N278" t="s">
        <v>18</v>
      </c>
    </row>
    <row r="279" spans="5:14" x14ac:dyDescent="0.35">
      <c r="E279" t="s">
        <v>53</v>
      </c>
      <c r="F279" t="s">
        <v>41</v>
      </c>
      <c r="G279" t="s">
        <v>42</v>
      </c>
      <c r="H279" t="s">
        <v>22</v>
      </c>
      <c r="I279" t="s">
        <v>23</v>
      </c>
      <c r="J279" t="s">
        <v>25</v>
      </c>
      <c r="K279">
        <v>13635</v>
      </c>
      <c r="L279">
        <v>2</v>
      </c>
      <c r="M279">
        <v>27270</v>
      </c>
      <c r="N279" t="s">
        <v>18</v>
      </c>
    </row>
    <row r="280" spans="5:14" x14ac:dyDescent="0.35">
      <c r="E280" t="s">
        <v>53</v>
      </c>
      <c r="F280" t="s">
        <v>41</v>
      </c>
      <c r="G280" t="s">
        <v>42</v>
      </c>
      <c r="H280" t="s">
        <v>22</v>
      </c>
      <c r="I280" t="s">
        <v>23</v>
      </c>
      <c r="J280" t="s">
        <v>26</v>
      </c>
      <c r="K280">
        <v>14847</v>
      </c>
      <c r="L280">
        <v>5</v>
      </c>
      <c r="M280">
        <v>74235</v>
      </c>
      <c r="N280" t="s">
        <v>18</v>
      </c>
    </row>
    <row r="281" spans="5:14" x14ac:dyDescent="0.35">
      <c r="E281" t="s">
        <v>53</v>
      </c>
      <c r="F281" t="s">
        <v>41</v>
      </c>
      <c r="G281" t="s">
        <v>42</v>
      </c>
      <c r="H281" t="s">
        <v>22</v>
      </c>
      <c r="I281" t="s">
        <v>27</v>
      </c>
      <c r="J281" t="s">
        <v>28</v>
      </c>
      <c r="K281">
        <v>7235</v>
      </c>
      <c r="L281">
        <v>3</v>
      </c>
      <c r="M281">
        <v>21705</v>
      </c>
      <c r="N281" t="s">
        <v>18</v>
      </c>
    </row>
    <row r="282" spans="5:14" x14ac:dyDescent="0.35">
      <c r="E282" t="s">
        <v>53</v>
      </c>
      <c r="F282" t="s">
        <v>43</v>
      </c>
      <c r="G282" t="s">
        <v>42</v>
      </c>
      <c r="H282" t="s">
        <v>13</v>
      </c>
      <c r="I282" t="s">
        <v>14</v>
      </c>
      <c r="J282" t="s">
        <v>15</v>
      </c>
      <c r="K282">
        <v>11371</v>
      </c>
      <c r="L282">
        <v>10</v>
      </c>
      <c r="M282">
        <v>113710</v>
      </c>
      <c r="N282" t="s">
        <v>21</v>
      </c>
    </row>
    <row r="283" spans="5:14" x14ac:dyDescent="0.35">
      <c r="E283" t="s">
        <v>53</v>
      </c>
      <c r="F283" t="s">
        <v>43</v>
      </c>
      <c r="G283" t="s">
        <v>42</v>
      </c>
      <c r="H283" t="s">
        <v>13</v>
      </c>
      <c r="I283" t="s">
        <v>14</v>
      </c>
      <c r="J283" t="s">
        <v>17</v>
      </c>
      <c r="K283">
        <v>11219</v>
      </c>
      <c r="L283">
        <v>20</v>
      </c>
      <c r="M283">
        <v>224380</v>
      </c>
      <c r="N283" t="s">
        <v>18</v>
      </c>
    </row>
    <row r="284" spans="5:14" x14ac:dyDescent="0.35">
      <c r="E284" t="s">
        <v>53</v>
      </c>
      <c r="F284" t="s">
        <v>43</v>
      </c>
      <c r="G284" t="s">
        <v>42</v>
      </c>
      <c r="H284" t="s">
        <v>13</v>
      </c>
      <c r="I284" t="s">
        <v>14</v>
      </c>
      <c r="J284" t="s">
        <v>19</v>
      </c>
      <c r="K284">
        <v>6577</v>
      </c>
      <c r="L284">
        <v>30</v>
      </c>
      <c r="M284">
        <v>197310</v>
      </c>
      <c r="N284" t="s">
        <v>16</v>
      </c>
    </row>
    <row r="285" spans="5:14" x14ac:dyDescent="0.35">
      <c r="E285" t="s">
        <v>53</v>
      </c>
      <c r="F285" t="s">
        <v>43</v>
      </c>
      <c r="G285" t="s">
        <v>42</v>
      </c>
      <c r="H285" t="s">
        <v>13</v>
      </c>
      <c r="I285" t="s">
        <v>14</v>
      </c>
      <c r="J285" t="s">
        <v>20</v>
      </c>
      <c r="K285">
        <v>14788</v>
      </c>
      <c r="L285">
        <v>15</v>
      </c>
      <c r="M285">
        <v>221820</v>
      </c>
      <c r="N285" t="s">
        <v>16</v>
      </c>
    </row>
    <row r="286" spans="5:14" x14ac:dyDescent="0.35">
      <c r="E286" t="s">
        <v>53</v>
      </c>
      <c r="F286" t="s">
        <v>43</v>
      </c>
      <c r="G286" t="s">
        <v>42</v>
      </c>
      <c r="H286" t="s">
        <v>22</v>
      </c>
      <c r="I286" t="s">
        <v>23</v>
      </c>
      <c r="J286" t="s">
        <v>24</v>
      </c>
      <c r="K286">
        <v>12398</v>
      </c>
      <c r="L286">
        <v>2</v>
      </c>
      <c r="M286">
        <v>24796</v>
      </c>
      <c r="N286" t="s">
        <v>18</v>
      </c>
    </row>
    <row r="287" spans="5:14" x14ac:dyDescent="0.35">
      <c r="E287" t="s">
        <v>53</v>
      </c>
      <c r="F287" t="s">
        <v>43</v>
      </c>
      <c r="G287" t="s">
        <v>42</v>
      </c>
      <c r="H287" t="s">
        <v>22</v>
      </c>
      <c r="I287" t="s">
        <v>23</v>
      </c>
      <c r="J287" t="s">
        <v>25</v>
      </c>
      <c r="K287">
        <v>10867</v>
      </c>
      <c r="L287">
        <v>2</v>
      </c>
      <c r="M287">
        <v>21734</v>
      </c>
      <c r="N287" t="s">
        <v>18</v>
      </c>
    </row>
    <row r="288" spans="5:14" x14ac:dyDescent="0.35">
      <c r="E288" t="s">
        <v>53</v>
      </c>
      <c r="F288" t="s">
        <v>43</v>
      </c>
      <c r="G288" t="s">
        <v>42</v>
      </c>
      <c r="H288" t="s">
        <v>22</v>
      </c>
      <c r="I288" t="s">
        <v>23</v>
      </c>
      <c r="J288" t="s">
        <v>26</v>
      </c>
      <c r="K288">
        <v>5547</v>
      </c>
      <c r="L288">
        <v>5</v>
      </c>
      <c r="M288">
        <v>27735</v>
      </c>
      <c r="N288" t="s">
        <v>21</v>
      </c>
    </row>
    <row r="289" spans="5:14" x14ac:dyDescent="0.35">
      <c r="E289" t="s">
        <v>53</v>
      </c>
      <c r="F289" t="s">
        <v>43</v>
      </c>
      <c r="G289" t="s">
        <v>42</v>
      </c>
      <c r="H289" t="s">
        <v>22</v>
      </c>
      <c r="I289" t="s">
        <v>27</v>
      </c>
      <c r="J289" t="s">
        <v>28</v>
      </c>
      <c r="K289">
        <v>5651</v>
      </c>
      <c r="L289">
        <v>3</v>
      </c>
      <c r="M289">
        <v>16953</v>
      </c>
      <c r="N289" t="s">
        <v>16</v>
      </c>
    </row>
    <row r="290" spans="5:14" x14ac:dyDescent="0.35">
      <c r="E290" t="s">
        <v>53</v>
      </c>
      <c r="F290" t="s">
        <v>44</v>
      </c>
      <c r="G290" t="s">
        <v>42</v>
      </c>
      <c r="H290" t="s">
        <v>13</v>
      </c>
      <c r="I290" t="s">
        <v>14</v>
      </c>
      <c r="J290" t="s">
        <v>15</v>
      </c>
      <c r="K290">
        <v>7478</v>
      </c>
      <c r="L290">
        <v>10</v>
      </c>
      <c r="M290">
        <v>74780</v>
      </c>
      <c r="N290" t="s">
        <v>18</v>
      </c>
    </row>
    <row r="291" spans="5:14" x14ac:dyDescent="0.35">
      <c r="E291" t="s">
        <v>53</v>
      </c>
      <c r="F291" t="s">
        <v>44</v>
      </c>
      <c r="G291" t="s">
        <v>42</v>
      </c>
      <c r="H291" t="s">
        <v>13</v>
      </c>
      <c r="I291" t="s">
        <v>14</v>
      </c>
      <c r="J291" t="s">
        <v>17</v>
      </c>
      <c r="K291">
        <v>13651</v>
      </c>
      <c r="L291">
        <v>20</v>
      </c>
      <c r="M291">
        <v>273020</v>
      </c>
      <c r="N291" t="s">
        <v>16</v>
      </c>
    </row>
    <row r="292" spans="5:14" x14ac:dyDescent="0.35">
      <c r="E292" t="s">
        <v>53</v>
      </c>
      <c r="F292" t="s">
        <v>44</v>
      </c>
      <c r="G292" t="s">
        <v>42</v>
      </c>
      <c r="H292" t="s">
        <v>13</v>
      </c>
      <c r="I292" t="s">
        <v>14</v>
      </c>
      <c r="J292" t="s">
        <v>19</v>
      </c>
      <c r="K292">
        <v>12681</v>
      </c>
      <c r="L292">
        <v>30</v>
      </c>
      <c r="M292">
        <v>380430</v>
      </c>
      <c r="N292" t="s">
        <v>16</v>
      </c>
    </row>
    <row r="293" spans="5:14" x14ac:dyDescent="0.35">
      <c r="E293" t="s">
        <v>53</v>
      </c>
      <c r="F293" t="s">
        <v>44</v>
      </c>
      <c r="G293" t="s">
        <v>42</v>
      </c>
      <c r="H293" t="s">
        <v>13</v>
      </c>
      <c r="I293" t="s">
        <v>14</v>
      </c>
      <c r="J293" t="s">
        <v>20</v>
      </c>
      <c r="K293">
        <v>10210</v>
      </c>
      <c r="L293">
        <v>15</v>
      </c>
      <c r="M293">
        <v>153150</v>
      </c>
      <c r="N293" t="s">
        <v>18</v>
      </c>
    </row>
    <row r="294" spans="5:14" x14ac:dyDescent="0.35">
      <c r="E294" t="s">
        <v>53</v>
      </c>
      <c r="F294" t="s">
        <v>44</v>
      </c>
      <c r="G294" t="s">
        <v>42</v>
      </c>
      <c r="H294" t="s">
        <v>22</v>
      </c>
      <c r="I294" t="s">
        <v>23</v>
      </c>
      <c r="J294" t="s">
        <v>24</v>
      </c>
      <c r="K294">
        <v>13240</v>
      </c>
      <c r="L294">
        <v>2</v>
      </c>
      <c r="M294">
        <v>26480</v>
      </c>
      <c r="N294" t="s">
        <v>16</v>
      </c>
    </row>
    <row r="295" spans="5:14" x14ac:dyDescent="0.35">
      <c r="E295" t="s">
        <v>53</v>
      </c>
      <c r="F295" t="s">
        <v>44</v>
      </c>
      <c r="G295" t="s">
        <v>42</v>
      </c>
      <c r="H295" t="s">
        <v>22</v>
      </c>
      <c r="I295" t="s">
        <v>23</v>
      </c>
      <c r="J295" t="s">
        <v>25</v>
      </c>
      <c r="K295">
        <v>12515</v>
      </c>
      <c r="L295">
        <v>2</v>
      </c>
      <c r="M295">
        <v>25030</v>
      </c>
      <c r="N295" t="s">
        <v>18</v>
      </c>
    </row>
    <row r="296" spans="5:14" x14ac:dyDescent="0.35">
      <c r="E296" t="s">
        <v>53</v>
      </c>
      <c r="F296" t="s">
        <v>44</v>
      </c>
      <c r="G296" t="s">
        <v>42</v>
      </c>
      <c r="H296" t="s">
        <v>22</v>
      </c>
      <c r="I296" t="s">
        <v>23</v>
      </c>
      <c r="J296" t="s">
        <v>26</v>
      </c>
      <c r="K296">
        <v>14845</v>
      </c>
      <c r="L296">
        <v>5</v>
      </c>
      <c r="M296">
        <v>74225</v>
      </c>
      <c r="N296" t="s">
        <v>18</v>
      </c>
    </row>
    <row r="297" spans="5:14" x14ac:dyDescent="0.35">
      <c r="E297" t="s">
        <v>53</v>
      </c>
      <c r="F297" t="s">
        <v>44</v>
      </c>
      <c r="G297" t="s">
        <v>42</v>
      </c>
      <c r="H297" t="s">
        <v>22</v>
      </c>
      <c r="I297" t="s">
        <v>27</v>
      </c>
      <c r="J297" t="s">
        <v>28</v>
      </c>
      <c r="K297">
        <v>14987</v>
      </c>
      <c r="L297">
        <v>3</v>
      </c>
      <c r="M297">
        <v>44961</v>
      </c>
      <c r="N297" t="s">
        <v>16</v>
      </c>
    </row>
    <row r="298" spans="5:14" x14ac:dyDescent="0.35">
      <c r="E298" t="s">
        <v>53</v>
      </c>
      <c r="F298" t="s">
        <v>45</v>
      </c>
      <c r="G298" t="s">
        <v>42</v>
      </c>
      <c r="H298" t="s">
        <v>13</v>
      </c>
      <c r="I298" t="s">
        <v>14</v>
      </c>
      <c r="J298" t="s">
        <v>15</v>
      </c>
      <c r="K298">
        <v>13566</v>
      </c>
      <c r="L298">
        <v>10</v>
      </c>
      <c r="M298">
        <v>135660</v>
      </c>
      <c r="N298" t="s">
        <v>18</v>
      </c>
    </row>
    <row r="299" spans="5:14" x14ac:dyDescent="0.35">
      <c r="E299" t="s">
        <v>53</v>
      </c>
      <c r="F299" t="s">
        <v>45</v>
      </c>
      <c r="G299" t="s">
        <v>42</v>
      </c>
      <c r="H299" t="s">
        <v>13</v>
      </c>
      <c r="I299" t="s">
        <v>14</v>
      </c>
      <c r="J299" t="s">
        <v>17</v>
      </c>
      <c r="K299">
        <v>13272</v>
      </c>
      <c r="L299">
        <v>20</v>
      </c>
      <c r="M299">
        <v>265440</v>
      </c>
      <c r="N299" t="s">
        <v>18</v>
      </c>
    </row>
    <row r="300" spans="5:14" x14ac:dyDescent="0.35">
      <c r="E300" t="s">
        <v>53</v>
      </c>
      <c r="F300" t="s">
        <v>45</v>
      </c>
      <c r="G300" t="s">
        <v>42</v>
      </c>
      <c r="H300" t="s">
        <v>13</v>
      </c>
      <c r="I300" t="s">
        <v>14</v>
      </c>
      <c r="J300" t="s">
        <v>19</v>
      </c>
      <c r="K300">
        <v>5589</v>
      </c>
      <c r="L300">
        <v>30</v>
      </c>
      <c r="M300">
        <v>167670</v>
      </c>
      <c r="N300" t="s">
        <v>16</v>
      </c>
    </row>
    <row r="301" spans="5:14" x14ac:dyDescent="0.35">
      <c r="E301" t="s">
        <v>53</v>
      </c>
      <c r="F301" t="s">
        <v>45</v>
      </c>
      <c r="G301" t="s">
        <v>42</v>
      </c>
      <c r="H301" t="s">
        <v>13</v>
      </c>
      <c r="I301" t="s">
        <v>14</v>
      </c>
      <c r="J301" t="s">
        <v>20</v>
      </c>
      <c r="K301">
        <v>5028</v>
      </c>
      <c r="L301">
        <v>15</v>
      </c>
      <c r="M301">
        <v>75420</v>
      </c>
      <c r="N301" t="s">
        <v>16</v>
      </c>
    </row>
    <row r="302" spans="5:14" x14ac:dyDescent="0.35">
      <c r="E302" t="s">
        <v>53</v>
      </c>
      <c r="F302" t="s">
        <v>45</v>
      </c>
      <c r="G302" t="s">
        <v>42</v>
      </c>
      <c r="H302" t="s">
        <v>22</v>
      </c>
      <c r="I302" t="s">
        <v>23</v>
      </c>
      <c r="J302" t="s">
        <v>24</v>
      </c>
      <c r="K302">
        <v>12453</v>
      </c>
      <c r="L302">
        <v>2</v>
      </c>
      <c r="M302">
        <v>24906</v>
      </c>
      <c r="N302" t="s">
        <v>16</v>
      </c>
    </row>
    <row r="303" spans="5:14" x14ac:dyDescent="0.35">
      <c r="E303" t="s">
        <v>53</v>
      </c>
      <c r="F303" t="s">
        <v>45</v>
      </c>
      <c r="G303" t="s">
        <v>42</v>
      </c>
      <c r="H303" t="s">
        <v>22</v>
      </c>
      <c r="I303" t="s">
        <v>23</v>
      </c>
      <c r="J303" t="s">
        <v>25</v>
      </c>
      <c r="K303">
        <v>7543</v>
      </c>
      <c r="L303">
        <v>2</v>
      </c>
      <c r="M303">
        <v>15086</v>
      </c>
      <c r="N303" t="s">
        <v>18</v>
      </c>
    </row>
    <row r="304" spans="5:14" x14ac:dyDescent="0.35">
      <c r="E304" t="s">
        <v>53</v>
      </c>
      <c r="F304" t="s">
        <v>45</v>
      </c>
      <c r="G304" t="s">
        <v>42</v>
      </c>
      <c r="H304" t="s">
        <v>22</v>
      </c>
      <c r="I304" t="s">
        <v>23</v>
      </c>
      <c r="J304" t="s">
        <v>26</v>
      </c>
      <c r="K304">
        <v>13735</v>
      </c>
      <c r="L304">
        <v>5</v>
      </c>
      <c r="M304">
        <v>68675</v>
      </c>
      <c r="N304" t="s">
        <v>21</v>
      </c>
    </row>
    <row r="305" spans="5:14" x14ac:dyDescent="0.35">
      <c r="E305" t="s">
        <v>53</v>
      </c>
      <c r="F305" t="s">
        <v>45</v>
      </c>
      <c r="G305" t="s">
        <v>42</v>
      </c>
      <c r="H305" t="s">
        <v>22</v>
      </c>
      <c r="I305" t="s">
        <v>27</v>
      </c>
      <c r="J305" t="s">
        <v>28</v>
      </c>
      <c r="K305">
        <v>13423</v>
      </c>
      <c r="L305">
        <v>3</v>
      </c>
      <c r="M305">
        <v>40269</v>
      </c>
      <c r="N305" t="s">
        <v>16</v>
      </c>
    </row>
    <row r="306" spans="5:14" x14ac:dyDescent="0.35">
      <c r="E306" t="s">
        <v>53</v>
      </c>
      <c r="F306" t="s">
        <v>46</v>
      </c>
      <c r="G306" t="s">
        <v>42</v>
      </c>
      <c r="H306" t="s">
        <v>13</v>
      </c>
      <c r="I306" t="s">
        <v>14</v>
      </c>
      <c r="J306" t="s">
        <v>15</v>
      </c>
      <c r="K306">
        <v>7174</v>
      </c>
      <c r="L306">
        <v>10</v>
      </c>
      <c r="M306">
        <v>71740</v>
      </c>
      <c r="N306" t="s">
        <v>21</v>
      </c>
    </row>
    <row r="307" spans="5:14" x14ac:dyDescent="0.35">
      <c r="E307" t="s">
        <v>53</v>
      </c>
      <c r="F307" t="s">
        <v>46</v>
      </c>
      <c r="G307" t="s">
        <v>42</v>
      </c>
      <c r="H307" t="s">
        <v>13</v>
      </c>
      <c r="I307" t="s">
        <v>14</v>
      </c>
      <c r="J307" t="s">
        <v>17</v>
      </c>
      <c r="K307">
        <v>7787</v>
      </c>
      <c r="L307">
        <v>20</v>
      </c>
      <c r="M307">
        <v>155740</v>
      </c>
      <c r="N307" t="s">
        <v>16</v>
      </c>
    </row>
    <row r="308" spans="5:14" x14ac:dyDescent="0.35">
      <c r="E308" t="s">
        <v>53</v>
      </c>
      <c r="F308" t="s">
        <v>46</v>
      </c>
      <c r="G308" t="s">
        <v>42</v>
      </c>
      <c r="H308" t="s">
        <v>13</v>
      </c>
      <c r="I308" t="s">
        <v>14</v>
      </c>
      <c r="J308" t="s">
        <v>19</v>
      </c>
      <c r="K308">
        <v>8373</v>
      </c>
      <c r="L308">
        <v>30</v>
      </c>
      <c r="M308">
        <v>251190</v>
      </c>
      <c r="N308" t="s">
        <v>16</v>
      </c>
    </row>
    <row r="309" spans="5:14" x14ac:dyDescent="0.35">
      <c r="E309" t="s">
        <v>53</v>
      </c>
      <c r="F309" t="s">
        <v>46</v>
      </c>
      <c r="G309" t="s">
        <v>42</v>
      </c>
      <c r="H309" t="s">
        <v>13</v>
      </c>
      <c r="I309" t="s">
        <v>14</v>
      </c>
      <c r="J309" t="s">
        <v>20</v>
      </c>
      <c r="K309">
        <v>11171</v>
      </c>
      <c r="L309">
        <v>15</v>
      </c>
      <c r="M309">
        <v>167565</v>
      </c>
      <c r="N309" t="s">
        <v>21</v>
      </c>
    </row>
    <row r="310" spans="5:14" x14ac:dyDescent="0.35">
      <c r="E310" t="s">
        <v>53</v>
      </c>
      <c r="F310" t="s">
        <v>46</v>
      </c>
      <c r="G310" t="s">
        <v>42</v>
      </c>
      <c r="H310" t="s">
        <v>22</v>
      </c>
      <c r="I310" t="s">
        <v>23</v>
      </c>
      <c r="J310" t="s">
        <v>24</v>
      </c>
      <c r="K310">
        <v>12715</v>
      </c>
      <c r="L310">
        <v>2</v>
      </c>
      <c r="M310">
        <v>25430</v>
      </c>
      <c r="N310" t="s">
        <v>16</v>
      </c>
    </row>
    <row r="311" spans="5:14" x14ac:dyDescent="0.35">
      <c r="E311" t="s">
        <v>53</v>
      </c>
      <c r="F311" t="s">
        <v>46</v>
      </c>
      <c r="G311" t="s">
        <v>42</v>
      </c>
      <c r="H311" t="s">
        <v>22</v>
      </c>
      <c r="I311" t="s">
        <v>23</v>
      </c>
      <c r="J311" t="s">
        <v>25</v>
      </c>
      <c r="K311">
        <v>8371</v>
      </c>
      <c r="L311">
        <v>2</v>
      </c>
      <c r="M311">
        <v>16742</v>
      </c>
      <c r="N311" t="s">
        <v>16</v>
      </c>
    </row>
    <row r="312" spans="5:14" x14ac:dyDescent="0.35">
      <c r="E312" t="s">
        <v>53</v>
      </c>
      <c r="F312" t="s">
        <v>46</v>
      </c>
      <c r="G312" t="s">
        <v>42</v>
      </c>
      <c r="H312" t="s">
        <v>22</v>
      </c>
      <c r="I312" t="s">
        <v>23</v>
      </c>
      <c r="J312" t="s">
        <v>26</v>
      </c>
      <c r="K312">
        <v>6424</v>
      </c>
      <c r="L312">
        <v>5</v>
      </c>
      <c r="M312">
        <v>32120</v>
      </c>
      <c r="N312" t="s">
        <v>18</v>
      </c>
    </row>
    <row r="313" spans="5:14" x14ac:dyDescent="0.35">
      <c r="E313" t="s">
        <v>53</v>
      </c>
      <c r="F313" t="s">
        <v>46</v>
      </c>
      <c r="G313" t="s">
        <v>42</v>
      </c>
      <c r="H313" t="s">
        <v>22</v>
      </c>
      <c r="I313" t="s">
        <v>27</v>
      </c>
      <c r="J313" t="s">
        <v>28</v>
      </c>
      <c r="K313">
        <v>12361</v>
      </c>
      <c r="L313">
        <v>3</v>
      </c>
      <c r="M313">
        <v>37083</v>
      </c>
      <c r="N313" t="s">
        <v>16</v>
      </c>
    </row>
    <row r="314" spans="5:14" x14ac:dyDescent="0.35">
      <c r="E314" t="s">
        <v>53</v>
      </c>
      <c r="F314" t="s">
        <v>47</v>
      </c>
      <c r="G314" t="s">
        <v>48</v>
      </c>
      <c r="H314" t="s">
        <v>13</v>
      </c>
      <c r="I314" t="s">
        <v>14</v>
      </c>
      <c r="J314" t="s">
        <v>15</v>
      </c>
      <c r="K314">
        <v>8216</v>
      </c>
      <c r="L314">
        <v>10</v>
      </c>
      <c r="M314">
        <v>82160</v>
      </c>
      <c r="N314" t="s">
        <v>18</v>
      </c>
    </row>
    <row r="315" spans="5:14" x14ac:dyDescent="0.35">
      <c r="E315" t="s">
        <v>53</v>
      </c>
      <c r="F315" t="s">
        <v>47</v>
      </c>
      <c r="G315" t="s">
        <v>48</v>
      </c>
      <c r="H315" t="s">
        <v>13</v>
      </c>
      <c r="I315" t="s">
        <v>14</v>
      </c>
      <c r="J315" t="s">
        <v>17</v>
      </c>
      <c r="K315">
        <v>12681</v>
      </c>
      <c r="L315">
        <v>20</v>
      </c>
      <c r="M315">
        <v>253620</v>
      </c>
      <c r="N315" t="s">
        <v>18</v>
      </c>
    </row>
    <row r="316" spans="5:14" x14ac:dyDescent="0.35">
      <c r="E316" t="s">
        <v>53</v>
      </c>
      <c r="F316" t="s">
        <v>47</v>
      </c>
      <c r="G316" t="s">
        <v>48</v>
      </c>
      <c r="H316" t="s">
        <v>13</v>
      </c>
      <c r="I316" t="s">
        <v>14</v>
      </c>
      <c r="J316" t="s">
        <v>19</v>
      </c>
      <c r="K316">
        <v>13530</v>
      </c>
      <c r="L316">
        <v>30</v>
      </c>
      <c r="M316">
        <v>405900</v>
      </c>
      <c r="N316" t="s">
        <v>21</v>
      </c>
    </row>
    <row r="317" spans="5:14" x14ac:dyDescent="0.35">
      <c r="E317" t="s">
        <v>53</v>
      </c>
      <c r="F317" t="s">
        <v>47</v>
      </c>
      <c r="G317" t="s">
        <v>48</v>
      </c>
      <c r="H317" t="s">
        <v>13</v>
      </c>
      <c r="I317" t="s">
        <v>14</v>
      </c>
      <c r="J317" t="s">
        <v>20</v>
      </c>
      <c r="K317">
        <v>7920</v>
      </c>
      <c r="L317">
        <v>15</v>
      </c>
      <c r="M317">
        <v>118800</v>
      </c>
      <c r="N317" t="s">
        <v>16</v>
      </c>
    </row>
    <row r="318" spans="5:14" x14ac:dyDescent="0.35">
      <c r="E318" t="s">
        <v>53</v>
      </c>
      <c r="F318" t="s">
        <v>47</v>
      </c>
      <c r="G318" t="s">
        <v>48</v>
      </c>
      <c r="H318" t="s">
        <v>22</v>
      </c>
      <c r="I318" t="s">
        <v>23</v>
      </c>
      <c r="J318" t="s">
        <v>24</v>
      </c>
      <c r="K318">
        <v>6833</v>
      </c>
      <c r="L318">
        <v>2</v>
      </c>
      <c r="M318">
        <v>13666</v>
      </c>
      <c r="N318" t="s">
        <v>16</v>
      </c>
    </row>
    <row r="319" spans="5:14" x14ac:dyDescent="0.35">
      <c r="E319" t="s">
        <v>53</v>
      </c>
      <c r="F319" t="s">
        <v>47</v>
      </c>
      <c r="G319" t="s">
        <v>48</v>
      </c>
      <c r="H319" t="s">
        <v>22</v>
      </c>
      <c r="I319" t="s">
        <v>23</v>
      </c>
      <c r="J319" t="s">
        <v>25</v>
      </c>
      <c r="K319">
        <v>7107</v>
      </c>
      <c r="L319">
        <v>2</v>
      </c>
      <c r="M319">
        <v>14214</v>
      </c>
      <c r="N319" t="s">
        <v>21</v>
      </c>
    </row>
    <row r="320" spans="5:14" x14ac:dyDescent="0.35">
      <c r="E320" t="s">
        <v>53</v>
      </c>
      <c r="F320" t="s">
        <v>47</v>
      </c>
      <c r="G320" t="s">
        <v>48</v>
      </c>
      <c r="H320" t="s">
        <v>22</v>
      </c>
      <c r="I320" t="s">
        <v>23</v>
      </c>
      <c r="J320" t="s">
        <v>26</v>
      </c>
      <c r="K320">
        <v>9368</v>
      </c>
      <c r="L320">
        <v>5</v>
      </c>
      <c r="M320">
        <v>46840</v>
      </c>
      <c r="N320" t="s">
        <v>16</v>
      </c>
    </row>
    <row r="321" spans="5:14" x14ac:dyDescent="0.35">
      <c r="E321" t="s">
        <v>53</v>
      </c>
      <c r="F321" t="s">
        <v>47</v>
      </c>
      <c r="G321" t="s">
        <v>48</v>
      </c>
      <c r="H321" t="s">
        <v>22</v>
      </c>
      <c r="I321" t="s">
        <v>27</v>
      </c>
      <c r="J321" t="s">
        <v>28</v>
      </c>
      <c r="K321">
        <v>8442</v>
      </c>
      <c r="L321">
        <v>3</v>
      </c>
      <c r="M321">
        <v>25326</v>
      </c>
      <c r="N321" t="s">
        <v>16</v>
      </c>
    </row>
    <row r="322" spans="5:14" x14ac:dyDescent="0.35">
      <c r="E322" t="s">
        <v>53</v>
      </c>
      <c r="F322" t="s">
        <v>49</v>
      </c>
      <c r="G322" t="s">
        <v>48</v>
      </c>
      <c r="H322" t="s">
        <v>13</v>
      </c>
      <c r="I322" t="s">
        <v>14</v>
      </c>
      <c r="J322" t="s">
        <v>15</v>
      </c>
      <c r="K322">
        <v>6230</v>
      </c>
      <c r="L322">
        <v>10</v>
      </c>
      <c r="M322">
        <v>62300</v>
      </c>
      <c r="N322" t="s">
        <v>18</v>
      </c>
    </row>
    <row r="323" spans="5:14" x14ac:dyDescent="0.35">
      <c r="E323" t="s">
        <v>53</v>
      </c>
      <c r="F323" t="s">
        <v>49</v>
      </c>
      <c r="G323" t="s">
        <v>48</v>
      </c>
      <c r="H323" t="s">
        <v>13</v>
      </c>
      <c r="I323" t="s">
        <v>14</v>
      </c>
      <c r="J323" t="s">
        <v>17</v>
      </c>
      <c r="K323">
        <v>9393</v>
      </c>
      <c r="L323">
        <v>20</v>
      </c>
      <c r="M323">
        <v>187860</v>
      </c>
      <c r="N323" t="s">
        <v>18</v>
      </c>
    </row>
    <row r="324" spans="5:14" x14ac:dyDescent="0.35">
      <c r="E324" t="s">
        <v>53</v>
      </c>
      <c r="F324" t="s">
        <v>49</v>
      </c>
      <c r="G324" t="s">
        <v>48</v>
      </c>
      <c r="H324" t="s">
        <v>13</v>
      </c>
      <c r="I324" t="s">
        <v>14</v>
      </c>
      <c r="J324" t="s">
        <v>19</v>
      </c>
      <c r="K324">
        <v>12724</v>
      </c>
      <c r="L324">
        <v>30</v>
      </c>
      <c r="M324">
        <v>381720</v>
      </c>
      <c r="N324" t="s">
        <v>21</v>
      </c>
    </row>
    <row r="325" spans="5:14" x14ac:dyDescent="0.35">
      <c r="E325" t="s">
        <v>53</v>
      </c>
      <c r="F325" t="s">
        <v>49</v>
      </c>
      <c r="G325" t="s">
        <v>48</v>
      </c>
      <c r="H325" t="s">
        <v>13</v>
      </c>
      <c r="I325" t="s">
        <v>14</v>
      </c>
      <c r="J325" t="s">
        <v>20</v>
      </c>
      <c r="K325">
        <v>9098</v>
      </c>
      <c r="L325">
        <v>15</v>
      </c>
      <c r="M325">
        <v>136470</v>
      </c>
      <c r="N325" t="s">
        <v>16</v>
      </c>
    </row>
    <row r="326" spans="5:14" x14ac:dyDescent="0.35">
      <c r="E326" t="s">
        <v>53</v>
      </c>
      <c r="F326" t="s">
        <v>49</v>
      </c>
      <c r="G326" t="s">
        <v>48</v>
      </c>
      <c r="H326" t="s">
        <v>22</v>
      </c>
      <c r="I326" t="s">
        <v>23</v>
      </c>
      <c r="J326" t="s">
        <v>24</v>
      </c>
      <c r="K326">
        <v>14781</v>
      </c>
      <c r="L326">
        <v>2</v>
      </c>
      <c r="M326">
        <v>29562</v>
      </c>
      <c r="N326" t="s">
        <v>18</v>
      </c>
    </row>
    <row r="327" spans="5:14" x14ac:dyDescent="0.35">
      <c r="E327" t="s">
        <v>53</v>
      </c>
      <c r="F327" t="s">
        <v>49</v>
      </c>
      <c r="G327" t="s">
        <v>48</v>
      </c>
      <c r="H327" t="s">
        <v>22</v>
      </c>
      <c r="I327" t="s">
        <v>23</v>
      </c>
      <c r="J327" t="s">
        <v>25</v>
      </c>
      <c r="K327">
        <v>14029</v>
      </c>
      <c r="L327">
        <v>2</v>
      </c>
      <c r="M327">
        <v>28058</v>
      </c>
      <c r="N327" t="s">
        <v>21</v>
      </c>
    </row>
    <row r="328" spans="5:14" x14ac:dyDescent="0.35">
      <c r="E328" t="s">
        <v>53</v>
      </c>
      <c r="F328" t="s">
        <v>49</v>
      </c>
      <c r="G328" t="s">
        <v>48</v>
      </c>
      <c r="H328" t="s">
        <v>22</v>
      </c>
      <c r="I328" t="s">
        <v>23</v>
      </c>
      <c r="J328" t="s">
        <v>26</v>
      </c>
      <c r="K328">
        <v>14006</v>
      </c>
      <c r="L328">
        <v>5</v>
      </c>
      <c r="M328">
        <v>70030</v>
      </c>
      <c r="N328" t="s">
        <v>18</v>
      </c>
    </row>
    <row r="329" spans="5:14" x14ac:dyDescent="0.35">
      <c r="E329" t="s">
        <v>53</v>
      </c>
      <c r="F329" t="s">
        <v>49</v>
      </c>
      <c r="G329" t="s">
        <v>48</v>
      </c>
      <c r="H329" t="s">
        <v>22</v>
      </c>
      <c r="I329" t="s">
        <v>27</v>
      </c>
      <c r="J329" t="s">
        <v>28</v>
      </c>
      <c r="K329">
        <v>6025</v>
      </c>
      <c r="L329">
        <v>3</v>
      </c>
      <c r="M329">
        <v>18075</v>
      </c>
      <c r="N329" t="s">
        <v>16</v>
      </c>
    </row>
    <row r="330" spans="5:14" x14ac:dyDescent="0.35">
      <c r="E330" t="s">
        <v>53</v>
      </c>
      <c r="F330" t="s">
        <v>50</v>
      </c>
      <c r="G330" t="s">
        <v>48</v>
      </c>
      <c r="H330" t="s">
        <v>13</v>
      </c>
      <c r="I330" t="s">
        <v>14</v>
      </c>
      <c r="J330" t="s">
        <v>15</v>
      </c>
      <c r="K330">
        <v>14350</v>
      </c>
      <c r="L330">
        <v>10</v>
      </c>
      <c r="M330">
        <v>143500</v>
      </c>
      <c r="N330" t="s">
        <v>18</v>
      </c>
    </row>
    <row r="331" spans="5:14" x14ac:dyDescent="0.35">
      <c r="E331" t="s">
        <v>53</v>
      </c>
      <c r="F331" t="s">
        <v>50</v>
      </c>
      <c r="G331" t="s">
        <v>48</v>
      </c>
      <c r="H331" t="s">
        <v>13</v>
      </c>
      <c r="I331" t="s">
        <v>14</v>
      </c>
      <c r="J331" t="s">
        <v>17</v>
      </c>
      <c r="K331">
        <v>11240</v>
      </c>
      <c r="L331">
        <v>20</v>
      </c>
      <c r="M331">
        <v>224800</v>
      </c>
      <c r="N331" t="s">
        <v>21</v>
      </c>
    </row>
    <row r="332" spans="5:14" x14ac:dyDescent="0.35">
      <c r="E332" t="s">
        <v>53</v>
      </c>
      <c r="F332" t="s">
        <v>50</v>
      </c>
      <c r="G332" t="s">
        <v>48</v>
      </c>
      <c r="H332" t="s">
        <v>13</v>
      </c>
      <c r="I332" t="s">
        <v>14</v>
      </c>
      <c r="J332" t="s">
        <v>19</v>
      </c>
      <c r="K332">
        <v>5318</v>
      </c>
      <c r="L332">
        <v>30</v>
      </c>
      <c r="M332">
        <v>159540</v>
      </c>
      <c r="N332" t="s">
        <v>21</v>
      </c>
    </row>
    <row r="333" spans="5:14" x14ac:dyDescent="0.35">
      <c r="E333" t="s">
        <v>53</v>
      </c>
      <c r="F333" t="s">
        <v>50</v>
      </c>
      <c r="G333" t="s">
        <v>48</v>
      </c>
      <c r="H333" t="s">
        <v>13</v>
      </c>
      <c r="I333" t="s">
        <v>14</v>
      </c>
      <c r="J333" t="s">
        <v>20</v>
      </c>
      <c r="K333">
        <v>11527</v>
      </c>
      <c r="L333">
        <v>15</v>
      </c>
      <c r="M333">
        <v>172905</v>
      </c>
      <c r="N333" t="s">
        <v>21</v>
      </c>
    </row>
    <row r="334" spans="5:14" x14ac:dyDescent="0.35">
      <c r="E334" t="s">
        <v>53</v>
      </c>
      <c r="F334" t="s">
        <v>50</v>
      </c>
      <c r="G334" t="s">
        <v>48</v>
      </c>
      <c r="H334" t="s">
        <v>22</v>
      </c>
      <c r="I334" t="s">
        <v>23</v>
      </c>
      <c r="J334" t="s">
        <v>24</v>
      </c>
      <c r="K334">
        <v>12005</v>
      </c>
      <c r="L334">
        <v>2</v>
      </c>
      <c r="M334">
        <v>24010</v>
      </c>
      <c r="N334" t="s">
        <v>21</v>
      </c>
    </row>
    <row r="335" spans="5:14" x14ac:dyDescent="0.35">
      <c r="E335" t="s">
        <v>53</v>
      </c>
      <c r="F335" t="s">
        <v>50</v>
      </c>
      <c r="G335" t="s">
        <v>48</v>
      </c>
      <c r="H335" t="s">
        <v>22</v>
      </c>
      <c r="I335" t="s">
        <v>23</v>
      </c>
      <c r="J335" t="s">
        <v>25</v>
      </c>
      <c r="K335">
        <v>9646</v>
      </c>
      <c r="L335">
        <v>2</v>
      </c>
      <c r="M335">
        <v>19292</v>
      </c>
      <c r="N335" t="s">
        <v>18</v>
      </c>
    </row>
    <row r="336" spans="5:14" x14ac:dyDescent="0.35">
      <c r="E336" t="s">
        <v>53</v>
      </c>
      <c r="F336" t="s">
        <v>50</v>
      </c>
      <c r="G336" t="s">
        <v>48</v>
      </c>
      <c r="H336" t="s">
        <v>22</v>
      </c>
      <c r="I336" t="s">
        <v>23</v>
      </c>
      <c r="J336" t="s">
        <v>26</v>
      </c>
      <c r="K336">
        <v>13418</v>
      </c>
      <c r="L336">
        <v>5</v>
      </c>
      <c r="M336">
        <v>67090</v>
      </c>
      <c r="N336" t="s">
        <v>18</v>
      </c>
    </row>
    <row r="337" spans="5:14" x14ac:dyDescent="0.35">
      <c r="E337" t="s">
        <v>53</v>
      </c>
      <c r="F337" t="s">
        <v>50</v>
      </c>
      <c r="G337" t="s">
        <v>48</v>
      </c>
      <c r="H337" t="s">
        <v>22</v>
      </c>
      <c r="I337" t="s">
        <v>27</v>
      </c>
      <c r="J337" t="s">
        <v>28</v>
      </c>
      <c r="K337">
        <v>8435</v>
      </c>
      <c r="L337">
        <v>3</v>
      </c>
      <c r="M337">
        <v>25305</v>
      </c>
      <c r="N337" t="s">
        <v>18</v>
      </c>
    </row>
    <row r="338" spans="5:14" x14ac:dyDescent="0.35">
      <c r="E338" t="s">
        <v>53</v>
      </c>
      <c r="F338" t="s">
        <v>51</v>
      </c>
      <c r="G338" t="s">
        <v>48</v>
      </c>
      <c r="H338" t="s">
        <v>13</v>
      </c>
      <c r="I338" t="s">
        <v>14</v>
      </c>
      <c r="J338" t="s">
        <v>15</v>
      </c>
      <c r="K338">
        <v>14186</v>
      </c>
      <c r="L338">
        <v>10</v>
      </c>
      <c r="M338">
        <v>141860</v>
      </c>
      <c r="N338" t="s">
        <v>18</v>
      </c>
    </row>
    <row r="339" spans="5:14" x14ac:dyDescent="0.35">
      <c r="E339" t="s">
        <v>53</v>
      </c>
      <c r="F339" t="s">
        <v>51</v>
      </c>
      <c r="G339" t="s">
        <v>48</v>
      </c>
      <c r="H339" t="s">
        <v>13</v>
      </c>
      <c r="I339" t="s">
        <v>14</v>
      </c>
      <c r="J339" t="s">
        <v>17</v>
      </c>
      <c r="K339">
        <v>9043</v>
      </c>
      <c r="L339">
        <v>20</v>
      </c>
      <c r="M339">
        <v>180860</v>
      </c>
      <c r="N339" t="s">
        <v>21</v>
      </c>
    </row>
    <row r="340" spans="5:14" x14ac:dyDescent="0.35">
      <c r="E340" t="s">
        <v>53</v>
      </c>
      <c r="F340" t="s">
        <v>51</v>
      </c>
      <c r="G340" t="s">
        <v>48</v>
      </c>
      <c r="H340" t="s">
        <v>13</v>
      </c>
      <c r="I340" t="s">
        <v>14</v>
      </c>
      <c r="J340" t="s">
        <v>19</v>
      </c>
      <c r="K340">
        <v>12111</v>
      </c>
      <c r="L340">
        <v>30</v>
      </c>
      <c r="M340">
        <v>363330</v>
      </c>
      <c r="N340" t="s">
        <v>21</v>
      </c>
    </row>
    <row r="341" spans="5:14" x14ac:dyDescent="0.35">
      <c r="E341" t="s">
        <v>53</v>
      </c>
      <c r="F341" t="s">
        <v>51</v>
      </c>
      <c r="G341" t="s">
        <v>48</v>
      </c>
      <c r="H341" t="s">
        <v>13</v>
      </c>
      <c r="I341" t="s">
        <v>14</v>
      </c>
      <c r="J341" t="s">
        <v>20</v>
      </c>
      <c r="K341">
        <v>10684</v>
      </c>
      <c r="L341">
        <v>15</v>
      </c>
      <c r="M341">
        <v>160260</v>
      </c>
      <c r="N341" t="s">
        <v>16</v>
      </c>
    </row>
    <row r="342" spans="5:14" x14ac:dyDescent="0.35">
      <c r="E342" t="s">
        <v>53</v>
      </c>
      <c r="F342" t="s">
        <v>51</v>
      </c>
      <c r="G342" t="s">
        <v>48</v>
      </c>
      <c r="H342" t="s">
        <v>22</v>
      </c>
      <c r="I342" t="s">
        <v>23</v>
      </c>
      <c r="J342" t="s">
        <v>24</v>
      </c>
      <c r="K342">
        <v>11308</v>
      </c>
      <c r="L342">
        <v>2</v>
      </c>
      <c r="M342">
        <v>22616</v>
      </c>
      <c r="N342" t="s">
        <v>16</v>
      </c>
    </row>
    <row r="343" spans="5:14" x14ac:dyDescent="0.35">
      <c r="E343" t="s">
        <v>53</v>
      </c>
      <c r="F343" t="s">
        <v>51</v>
      </c>
      <c r="G343" t="s">
        <v>48</v>
      </c>
      <c r="H343" t="s">
        <v>22</v>
      </c>
      <c r="I343" t="s">
        <v>23</v>
      </c>
      <c r="J343" t="s">
        <v>25</v>
      </c>
      <c r="K343">
        <v>6982</v>
      </c>
      <c r="L343">
        <v>2</v>
      </c>
      <c r="M343">
        <v>13964</v>
      </c>
      <c r="N343" t="s">
        <v>16</v>
      </c>
    </row>
    <row r="344" spans="5:14" x14ac:dyDescent="0.35">
      <c r="E344" t="s">
        <v>53</v>
      </c>
      <c r="F344" t="s">
        <v>51</v>
      </c>
      <c r="G344" t="s">
        <v>48</v>
      </c>
      <c r="H344" t="s">
        <v>22</v>
      </c>
      <c r="I344" t="s">
        <v>23</v>
      </c>
      <c r="J344" t="s">
        <v>26</v>
      </c>
      <c r="K344">
        <v>7457</v>
      </c>
      <c r="L344">
        <v>5</v>
      </c>
      <c r="M344">
        <v>37285</v>
      </c>
      <c r="N344" t="s">
        <v>21</v>
      </c>
    </row>
    <row r="345" spans="5:14" x14ac:dyDescent="0.35">
      <c r="E345" t="s">
        <v>53</v>
      </c>
      <c r="F345" t="s">
        <v>51</v>
      </c>
      <c r="G345" t="s">
        <v>48</v>
      </c>
      <c r="H345" t="s">
        <v>22</v>
      </c>
      <c r="I345" t="s">
        <v>27</v>
      </c>
      <c r="J345" t="s">
        <v>28</v>
      </c>
      <c r="K345">
        <v>9691</v>
      </c>
      <c r="L345">
        <v>3</v>
      </c>
      <c r="M345">
        <v>29073</v>
      </c>
      <c r="N345" t="s">
        <v>18</v>
      </c>
    </row>
    <row r="346" spans="5:14" x14ac:dyDescent="0.35">
      <c r="E346" t="s">
        <v>53</v>
      </c>
      <c r="F346" t="s">
        <v>52</v>
      </c>
      <c r="G346" t="s">
        <v>48</v>
      </c>
      <c r="H346" t="s">
        <v>13</v>
      </c>
      <c r="I346" t="s">
        <v>14</v>
      </c>
      <c r="J346" t="s">
        <v>15</v>
      </c>
      <c r="K346">
        <v>5034</v>
      </c>
      <c r="L346">
        <v>10</v>
      </c>
      <c r="M346">
        <v>50340</v>
      </c>
      <c r="N346" t="s">
        <v>21</v>
      </c>
    </row>
    <row r="347" spans="5:14" x14ac:dyDescent="0.35">
      <c r="E347" t="s">
        <v>53</v>
      </c>
      <c r="F347" t="s">
        <v>52</v>
      </c>
      <c r="G347" t="s">
        <v>48</v>
      </c>
      <c r="H347" t="s">
        <v>13</v>
      </c>
      <c r="I347" t="s">
        <v>14</v>
      </c>
      <c r="J347" t="s">
        <v>17</v>
      </c>
      <c r="K347">
        <v>12745</v>
      </c>
      <c r="L347">
        <v>20</v>
      </c>
      <c r="M347">
        <v>254900</v>
      </c>
      <c r="N347" t="s">
        <v>16</v>
      </c>
    </row>
    <row r="348" spans="5:14" x14ac:dyDescent="0.35">
      <c r="E348" t="s">
        <v>53</v>
      </c>
      <c r="F348" t="s">
        <v>52</v>
      </c>
      <c r="G348" t="s">
        <v>48</v>
      </c>
      <c r="H348" t="s">
        <v>13</v>
      </c>
      <c r="I348" t="s">
        <v>14</v>
      </c>
      <c r="J348" t="s">
        <v>19</v>
      </c>
      <c r="K348">
        <v>6817</v>
      </c>
      <c r="L348">
        <v>30</v>
      </c>
      <c r="M348">
        <v>204510</v>
      </c>
      <c r="N348" t="s">
        <v>16</v>
      </c>
    </row>
    <row r="349" spans="5:14" x14ac:dyDescent="0.35">
      <c r="E349" t="s">
        <v>53</v>
      </c>
      <c r="F349" t="s">
        <v>52</v>
      </c>
      <c r="G349" t="s">
        <v>48</v>
      </c>
      <c r="H349" t="s">
        <v>13</v>
      </c>
      <c r="I349" t="s">
        <v>14</v>
      </c>
      <c r="J349" t="s">
        <v>20</v>
      </c>
      <c r="K349">
        <v>8477</v>
      </c>
      <c r="L349">
        <v>15</v>
      </c>
      <c r="M349">
        <v>127155</v>
      </c>
      <c r="N349" t="s">
        <v>16</v>
      </c>
    </row>
    <row r="350" spans="5:14" x14ac:dyDescent="0.35">
      <c r="E350" t="s">
        <v>53</v>
      </c>
      <c r="F350" t="s">
        <v>52</v>
      </c>
      <c r="G350" t="s">
        <v>48</v>
      </c>
      <c r="H350" t="s">
        <v>22</v>
      </c>
      <c r="I350" t="s">
        <v>23</v>
      </c>
      <c r="J350" t="s">
        <v>24</v>
      </c>
      <c r="K350">
        <v>9425</v>
      </c>
      <c r="L350">
        <v>2</v>
      </c>
      <c r="M350">
        <v>18850</v>
      </c>
      <c r="N350" t="s">
        <v>16</v>
      </c>
    </row>
    <row r="351" spans="5:14" x14ac:dyDescent="0.35">
      <c r="E351" t="s">
        <v>53</v>
      </c>
      <c r="F351" t="s">
        <v>52</v>
      </c>
      <c r="G351" t="s">
        <v>48</v>
      </c>
      <c r="H351" t="s">
        <v>22</v>
      </c>
      <c r="I351" t="s">
        <v>23</v>
      </c>
      <c r="J351" t="s">
        <v>25</v>
      </c>
      <c r="K351">
        <v>12387</v>
      </c>
      <c r="L351">
        <v>2</v>
      </c>
      <c r="M351">
        <v>24774</v>
      </c>
      <c r="N351" t="s">
        <v>21</v>
      </c>
    </row>
    <row r="352" spans="5:14" x14ac:dyDescent="0.35">
      <c r="E352" t="s">
        <v>53</v>
      </c>
      <c r="F352" t="s">
        <v>52</v>
      </c>
      <c r="G352" t="s">
        <v>48</v>
      </c>
      <c r="H352" t="s">
        <v>22</v>
      </c>
      <c r="I352" t="s">
        <v>23</v>
      </c>
      <c r="J352" t="s">
        <v>26</v>
      </c>
      <c r="K352">
        <v>12757</v>
      </c>
      <c r="L352">
        <v>5</v>
      </c>
      <c r="M352">
        <v>63785</v>
      </c>
      <c r="N352" t="s">
        <v>16</v>
      </c>
    </row>
    <row r="353" spans="5:14" x14ac:dyDescent="0.35">
      <c r="E353" t="s">
        <v>53</v>
      </c>
      <c r="F353" t="s">
        <v>52</v>
      </c>
      <c r="G353" t="s">
        <v>48</v>
      </c>
      <c r="H353" t="s">
        <v>22</v>
      </c>
      <c r="I353" t="s">
        <v>27</v>
      </c>
      <c r="J353" t="s">
        <v>28</v>
      </c>
      <c r="K353">
        <v>7967</v>
      </c>
      <c r="L353">
        <v>3</v>
      </c>
      <c r="M353">
        <v>23901</v>
      </c>
      <c r="N353" t="s">
        <v>21</v>
      </c>
    </row>
    <row r="354" spans="5:14" x14ac:dyDescent="0.35">
      <c r="E354" t="s">
        <v>54</v>
      </c>
      <c r="F354" t="s">
        <v>11</v>
      </c>
      <c r="G354" t="s">
        <v>12</v>
      </c>
      <c r="H354" t="s">
        <v>13</v>
      </c>
      <c r="I354" t="s">
        <v>14</v>
      </c>
      <c r="J354" t="s">
        <v>15</v>
      </c>
      <c r="K354">
        <v>8674</v>
      </c>
      <c r="L354">
        <v>10</v>
      </c>
      <c r="M354">
        <v>86740</v>
      </c>
      <c r="N354" t="s">
        <v>21</v>
      </c>
    </row>
    <row r="355" spans="5:14" x14ac:dyDescent="0.35">
      <c r="E355" t="s">
        <v>54</v>
      </c>
      <c r="F355" t="s">
        <v>11</v>
      </c>
      <c r="G355" t="s">
        <v>12</v>
      </c>
      <c r="H355" t="s">
        <v>13</v>
      </c>
      <c r="I355" t="s">
        <v>14</v>
      </c>
      <c r="J355" t="s">
        <v>17</v>
      </c>
      <c r="K355">
        <v>13001</v>
      </c>
      <c r="L355">
        <v>20</v>
      </c>
      <c r="M355">
        <v>260020</v>
      </c>
      <c r="N355" t="s">
        <v>21</v>
      </c>
    </row>
    <row r="356" spans="5:14" x14ac:dyDescent="0.35">
      <c r="E356" t="s">
        <v>54</v>
      </c>
      <c r="F356" t="s">
        <v>11</v>
      </c>
      <c r="G356" t="s">
        <v>12</v>
      </c>
      <c r="H356" t="s">
        <v>13</v>
      </c>
      <c r="I356" t="s">
        <v>14</v>
      </c>
      <c r="J356" t="s">
        <v>19</v>
      </c>
      <c r="K356">
        <v>13843</v>
      </c>
      <c r="L356">
        <v>30</v>
      </c>
      <c r="M356">
        <v>415290</v>
      </c>
      <c r="N356" t="s">
        <v>18</v>
      </c>
    </row>
    <row r="357" spans="5:14" x14ac:dyDescent="0.35">
      <c r="E357" t="s">
        <v>54</v>
      </c>
      <c r="F357" t="s">
        <v>11</v>
      </c>
      <c r="G357" t="s">
        <v>12</v>
      </c>
      <c r="H357" t="s">
        <v>13</v>
      </c>
      <c r="I357" t="s">
        <v>14</v>
      </c>
      <c r="J357" t="s">
        <v>20</v>
      </c>
      <c r="K357">
        <v>13963</v>
      </c>
      <c r="L357">
        <v>15</v>
      </c>
      <c r="M357">
        <v>209445</v>
      </c>
      <c r="N357" t="s">
        <v>16</v>
      </c>
    </row>
    <row r="358" spans="5:14" x14ac:dyDescent="0.35">
      <c r="E358" t="s">
        <v>54</v>
      </c>
      <c r="F358" t="s">
        <v>11</v>
      </c>
      <c r="G358" t="s">
        <v>12</v>
      </c>
      <c r="H358" t="s">
        <v>22</v>
      </c>
      <c r="I358" t="s">
        <v>23</v>
      </c>
      <c r="J358" t="s">
        <v>24</v>
      </c>
      <c r="K358">
        <v>9833</v>
      </c>
      <c r="L358">
        <v>2</v>
      </c>
      <c r="M358">
        <v>19666</v>
      </c>
      <c r="N358" t="s">
        <v>21</v>
      </c>
    </row>
    <row r="359" spans="5:14" x14ac:dyDescent="0.35">
      <c r="E359" t="s">
        <v>54</v>
      </c>
      <c r="F359" t="s">
        <v>11</v>
      </c>
      <c r="G359" t="s">
        <v>12</v>
      </c>
      <c r="H359" t="s">
        <v>22</v>
      </c>
      <c r="I359" t="s">
        <v>23</v>
      </c>
      <c r="J359" t="s">
        <v>25</v>
      </c>
      <c r="K359">
        <v>7170</v>
      </c>
      <c r="L359">
        <v>2</v>
      </c>
      <c r="M359">
        <v>14340</v>
      </c>
      <c r="N359" t="s">
        <v>18</v>
      </c>
    </row>
    <row r="360" spans="5:14" x14ac:dyDescent="0.35">
      <c r="E360" t="s">
        <v>54</v>
      </c>
      <c r="F360" t="s">
        <v>11</v>
      </c>
      <c r="G360" t="s">
        <v>12</v>
      </c>
      <c r="H360" t="s">
        <v>22</v>
      </c>
      <c r="I360" t="s">
        <v>23</v>
      </c>
      <c r="J360" t="s">
        <v>26</v>
      </c>
      <c r="K360">
        <v>7392</v>
      </c>
      <c r="L360">
        <v>5</v>
      </c>
      <c r="M360">
        <v>36960</v>
      </c>
      <c r="N360" t="s">
        <v>18</v>
      </c>
    </row>
    <row r="361" spans="5:14" x14ac:dyDescent="0.35">
      <c r="E361" t="s">
        <v>54</v>
      </c>
      <c r="F361" t="s">
        <v>11</v>
      </c>
      <c r="G361" t="s">
        <v>12</v>
      </c>
      <c r="H361" t="s">
        <v>22</v>
      </c>
      <c r="I361" t="s">
        <v>27</v>
      </c>
      <c r="J361" t="s">
        <v>28</v>
      </c>
      <c r="K361">
        <v>9564</v>
      </c>
      <c r="L361">
        <v>3</v>
      </c>
      <c r="M361">
        <v>28692</v>
      </c>
      <c r="N361" t="s">
        <v>18</v>
      </c>
    </row>
    <row r="362" spans="5:14" x14ac:dyDescent="0.35">
      <c r="E362" t="s">
        <v>54</v>
      </c>
      <c r="F362" t="s">
        <v>29</v>
      </c>
      <c r="G362" t="s">
        <v>12</v>
      </c>
      <c r="H362" t="s">
        <v>13</v>
      </c>
      <c r="I362" t="s">
        <v>14</v>
      </c>
      <c r="J362" t="s">
        <v>15</v>
      </c>
      <c r="K362">
        <v>5281</v>
      </c>
      <c r="L362">
        <v>10</v>
      </c>
      <c r="M362">
        <v>52810</v>
      </c>
      <c r="N362" t="s">
        <v>21</v>
      </c>
    </row>
    <row r="363" spans="5:14" x14ac:dyDescent="0.35">
      <c r="E363" t="s">
        <v>54</v>
      </c>
      <c r="F363" t="s">
        <v>29</v>
      </c>
      <c r="G363" t="s">
        <v>12</v>
      </c>
      <c r="H363" t="s">
        <v>13</v>
      </c>
      <c r="I363" t="s">
        <v>14</v>
      </c>
      <c r="J363" t="s">
        <v>17</v>
      </c>
      <c r="K363">
        <v>10573</v>
      </c>
      <c r="L363">
        <v>20</v>
      </c>
      <c r="M363">
        <v>211460</v>
      </c>
      <c r="N363" t="s">
        <v>18</v>
      </c>
    </row>
    <row r="364" spans="5:14" x14ac:dyDescent="0.35">
      <c r="E364" t="s">
        <v>54</v>
      </c>
      <c r="F364" t="s">
        <v>29</v>
      </c>
      <c r="G364" t="s">
        <v>12</v>
      </c>
      <c r="H364" t="s">
        <v>13</v>
      </c>
      <c r="I364" t="s">
        <v>14</v>
      </c>
      <c r="J364" t="s">
        <v>19</v>
      </c>
      <c r="K364">
        <v>11083</v>
      </c>
      <c r="L364">
        <v>30</v>
      </c>
      <c r="M364">
        <v>332490</v>
      </c>
      <c r="N364" t="s">
        <v>18</v>
      </c>
    </row>
    <row r="365" spans="5:14" x14ac:dyDescent="0.35">
      <c r="E365" t="s">
        <v>54</v>
      </c>
      <c r="F365" t="s">
        <v>29</v>
      </c>
      <c r="G365" t="s">
        <v>12</v>
      </c>
      <c r="H365" t="s">
        <v>13</v>
      </c>
      <c r="I365" t="s">
        <v>14</v>
      </c>
      <c r="J365" t="s">
        <v>20</v>
      </c>
      <c r="K365">
        <v>9441</v>
      </c>
      <c r="L365">
        <v>15</v>
      </c>
      <c r="M365">
        <v>141615</v>
      </c>
      <c r="N365" t="s">
        <v>21</v>
      </c>
    </row>
    <row r="366" spans="5:14" x14ac:dyDescent="0.35">
      <c r="E366" t="s">
        <v>54</v>
      </c>
      <c r="F366" t="s">
        <v>29</v>
      </c>
      <c r="G366" t="s">
        <v>12</v>
      </c>
      <c r="H366" t="s">
        <v>22</v>
      </c>
      <c r="I366" t="s">
        <v>23</v>
      </c>
      <c r="J366" t="s">
        <v>24</v>
      </c>
      <c r="K366">
        <v>13882</v>
      </c>
      <c r="L366">
        <v>2</v>
      </c>
      <c r="M366">
        <v>27764</v>
      </c>
      <c r="N366" t="s">
        <v>18</v>
      </c>
    </row>
    <row r="367" spans="5:14" x14ac:dyDescent="0.35">
      <c r="E367" t="s">
        <v>54</v>
      </c>
      <c r="F367" t="s">
        <v>29</v>
      </c>
      <c r="G367" t="s">
        <v>12</v>
      </c>
      <c r="H367" t="s">
        <v>22</v>
      </c>
      <c r="I367" t="s">
        <v>23</v>
      </c>
      <c r="J367" t="s">
        <v>25</v>
      </c>
      <c r="K367">
        <v>6343</v>
      </c>
      <c r="L367">
        <v>2</v>
      </c>
      <c r="M367">
        <v>12686</v>
      </c>
      <c r="N367" t="s">
        <v>21</v>
      </c>
    </row>
    <row r="368" spans="5:14" x14ac:dyDescent="0.35">
      <c r="E368" t="s">
        <v>54</v>
      </c>
      <c r="F368" t="s">
        <v>29</v>
      </c>
      <c r="G368" t="s">
        <v>12</v>
      </c>
      <c r="H368" t="s">
        <v>22</v>
      </c>
      <c r="I368" t="s">
        <v>23</v>
      </c>
      <c r="J368" t="s">
        <v>26</v>
      </c>
      <c r="K368">
        <v>7413</v>
      </c>
      <c r="L368">
        <v>5</v>
      </c>
      <c r="M368">
        <v>37065</v>
      </c>
      <c r="N368" t="s">
        <v>21</v>
      </c>
    </row>
    <row r="369" spans="5:14" x14ac:dyDescent="0.35">
      <c r="E369" t="s">
        <v>54</v>
      </c>
      <c r="F369" t="s">
        <v>29</v>
      </c>
      <c r="G369" t="s">
        <v>12</v>
      </c>
      <c r="H369" t="s">
        <v>22</v>
      </c>
      <c r="I369" t="s">
        <v>27</v>
      </c>
      <c r="J369" t="s">
        <v>28</v>
      </c>
      <c r="K369">
        <v>8692</v>
      </c>
      <c r="L369">
        <v>3</v>
      </c>
      <c r="M369">
        <v>26076</v>
      </c>
      <c r="N369" t="s">
        <v>16</v>
      </c>
    </row>
    <row r="370" spans="5:14" x14ac:dyDescent="0.35">
      <c r="E370" t="s">
        <v>54</v>
      </c>
      <c r="F370" t="s">
        <v>30</v>
      </c>
      <c r="G370" t="s">
        <v>12</v>
      </c>
      <c r="H370" t="s">
        <v>13</v>
      </c>
      <c r="I370" t="s">
        <v>14</v>
      </c>
      <c r="J370" t="s">
        <v>15</v>
      </c>
      <c r="K370">
        <v>11874</v>
      </c>
      <c r="L370">
        <v>10</v>
      </c>
      <c r="M370">
        <v>118740</v>
      </c>
      <c r="N370" t="s">
        <v>21</v>
      </c>
    </row>
    <row r="371" spans="5:14" x14ac:dyDescent="0.35">
      <c r="E371" t="s">
        <v>54</v>
      </c>
      <c r="F371" t="s">
        <v>30</v>
      </c>
      <c r="G371" t="s">
        <v>12</v>
      </c>
      <c r="H371" t="s">
        <v>13</v>
      </c>
      <c r="I371" t="s">
        <v>14</v>
      </c>
      <c r="J371" t="s">
        <v>17</v>
      </c>
      <c r="K371">
        <v>8520</v>
      </c>
      <c r="L371">
        <v>20</v>
      </c>
      <c r="M371">
        <v>170400</v>
      </c>
      <c r="N371" t="s">
        <v>18</v>
      </c>
    </row>
    <row r="372" spans="5:14" x14ac:dyDescent="0.35">
      <c r="E372" t="s">
        <v>54</v>
      </c>
      <c r="F372" t="s">
        <v>30</v>
      </c>
      <c r="G372" t="s">
        <v>12</v>
      </c>
      <c r="H372" t="s">
        <v>13</v>
      </c>
      <c r="I372" t="s">
        <v>14</v>
      </c>
      <c r="J372" t="s">
        <v>19</v>
      </c>
      <c r="K372">
        <v>7217</v>
      </c>
      <c r="L372">
        <v>30</v>
      </c>
      <c r="M372">
        <v>216510</v>
      </c>
      <c r="N372" t="s">
        <v>16</v>
      </c>
    </row>
    <row r="373" spans="5:14" x14ac:dyDescent="0.35">
      <c r="E373" t="s">
        <v>54</v>
      </c>
      <c r="F373" t="s">
        <v>30</v>
      </c>
      <c r="G373" t="s">
        <v>12</v>
      </c>
      <c r="H373" t="s">
        <v>13</v>
      </c>
      <c r="I373" t="s">
        <v>14</v>
      </c>
      <c r="J373" t="s">
        <v>20</v>
      </c>
      <c r="K373">
        <v>12690</v>
      </c>
      <c r="L373">
        <v>15</v>
      </c>
      <c r="M373">
        <v>190350</v>
      </c>
      <c r="N373" t="s">
        <v>21</v>
      </c>
    </row>
    <row r="374" spans="5:14" x14ac:dyDescent="0.35">
      <c r="E374" t="s">
        <v>54</v>
      </c>
      <c r="F374" t="s">
        <v>30</v>
      </c>
      <c r="G374" t="s">
        <v>12</v>
      </c>
      <c r="H374" t="s">
        <v>22</v>
      </c>
      <c r="I374" t="s">
        <v>23</v>
      </c>
      <c r="J374" t="s">
        <v>24</v>
      </c>
      <c r="K374">
        <v>9695</v>
      </c>
      <c r="L374">
        <v>2</v>
      </c>
      <c r="M374">
        <v>19390</v>
      </c>
      <c r="N374" t="s">
        <v>16</v>
      </c>
    </row>
    <row r="375" spans="5:14" x14ac:dyDescent="0.35">
      <c r="E375" t="s">
        <v>54</v>
      </c>
      <c r="F375" t="s">
        <v>30</v>
      </c>
      <c r="G375" t="s">
        <v>12</v>
      </c>
      <c r="H375" t="s">
        <v>22</v>
      </c>
      <c r="I375" t="s">
        <v>23</v>
      </c>
      <c r="J375" t="s">
        <v>25</v>
      </c>
      <c r="K375">
        <v>5484</v>
      </c>
      <c r="L375">
        <v>2</v>
      </c>
      <c r="M375">
        <v>10968</v>
      </c>
      <c r="N375" t="s">
        <v>16</v>
      </c>
    </row>
    <row r="376" spans="5:14" x14ac:dyDescent="0.35">
      <c r="E376" t="s">
        <v>54</v>
      </c>
      <c r="F376" t="s">
        <v>30</v>
      </c>
      <c r="G376" t="s">
        <v>12</v>
      </c>
      <c r="H376" t="s">
        <v>22</v>
      </c>
      <c r="I376" t="s">
        <v>23</v>
      </c>
      <c r="J376" t="s">
        <v>26</v>
      </c>
      <c r="K376">
        <v>14047</v>
      </c>
      <c r="L376">
        <v>5</v>
      </c>
      <c r="M376">
        <v>70235</v>
      </c>
      <c r="N376" t="s">
        <v>21</v>
      </c>
    </row>
    <row r="377" spans="5:14" x14ac:dyDescent="0.35">
      <c r="E377" t="s">
        <v>54</v>
      </c>
      <c r="F377" t="s">
        <v>30</v>
      </c>
      <c r="G377" t="s">
        <v>12</v>
      </c>
      <c r="H377" t="s">
        <v>22</v>
      </c>
      <c r="I377" t="s">
        <v>27</v>
      </c>
      <c r="J377" t="s">
        <v>28</v>
      </c>
      <c r="K377">
        <v>7678</v>
      </c>
      <c r="L377">
        <v>3</v>
      </c>
      <c r="M377">
        <v>23034</v>
      </c>
      <c r="N377" t="s">
        <v>21</v>
      </c>
    </row>
    <row r="378" spans="5:14" x14ac:dyDescent="0.35">
      <c r="E378" t="s">
        <v>54</v>
      </c>
      <c r="F378" t="s">
        <v>31</v>
      </c>
      <c r="G378" t="s">
        <v>12</v>
      </c>
      <c r="H378" t="s">
        <v>13</v>
      </c>
      <c r="I378" t="s">
        <v>14</v>
      </c>
      <c r="J378" t="s">
        <v>15</v>
      </c>
      <c r="K378">
        <v>8239</v>
      </c>
      <c r="L378">
        <v>10</v>
      </c>
      <c r="M378">
        <v>82390</v>
      </c>
      <c r="N378" t="s">
        <v>16</v>
      </c>
    </row>
    <row r="379" spans="5:14" x14ac:dyDescent="0.35">
      <c r="E379" t="s">
        <v>54</v>
      </c>
      <c r="F379" t="s">
        <v>31</v>
      </c>
      <c r="G379" t="s">
        <v>12</v>
      </c>
      <c r="H379" t="s">
        <v>13</v>
      </c>
      <c r="I379" t="s">
        <v>14</v>
      </c>
      <c r="J379" t="s">
        <v>17</v>
      </c>
      <c r="K379">
        <v>8576</v>
      </c>
      <c r="L379">
        <v>20</v>
      </c>
      <c r="M379">
        <v>171520</v>
      </c>
      <c r="N379" t="s">
        <v>16</v>
      </c>
    </row>
    <row r="380" spans="5:14" x14ac:dyDescent="0.35">
      <c r="E380" t="s">
        <v>54</v>
      </c>
      <c r="F380" t="s">
        <v>31</v>
      </c>
      <c r="G380" t="s">
        <v>12</v>
      </c>
      <c r="H380" t="s">
        <v>13</v>
      </c>
      <c r="I380" t="s">
        <v>14</v>
      </c>
      <c r="J380" t="s">
        <v>19</v>
      </c>
      <c r="K380">
        <v>14930</v>
      </c>
      <c r="L380">
        <v>30</v>
      </c>
      <c r="M380">
        <v>447900</v>
      </c>
      <c r="N380" t="s">
        <v>18</v>
      </c>
    </row>
    <row r="381" spans="5:14" x14ac:dyDescent="0.35">
      <c r="E381" t="s">
        <v>54</v>
      </c>
      <c r="F381" t="s">
        <v>31</v>
      </c>
      <c r="G381" t="s">
        <v>12</v>
      </c>
      <c r="H381" t="s">
        <v>13</v>
      </c>
      <c r="I381" t="s">
        <v>14</v>
      </c>
      <c r="J381" t="s">
        <v>20</v>
      </c>
      <c r="K381">
        <v>5548</v>
      </c>
      <c r="L381">
        <v>15</v>
      </c>
      <c r="M381">
        <v>83220</v>
      </c>
      <c r="N381" t="s">
        <v>18</v>
      </c>
    </row>
    <row r="382" spans="5:14" x14ac:dyDescent="0.35">
      <c r="E382" t="s">
        <v>54</v>
      </c>
      <c r="F382" t="s">
        <v>31</v>
      </c>
      <c r="G382" t="s">
        <v>12</v>
      </c>
      <c r="H382" t="s">
        <v>22</v>
      </c>
      <c r="I382" t="s">
        <v>23</v>
      </c>
      <c r="J382" t="s">
        <v>24</v>
      </c>
      <c r="K382">
        <v>13810</v>
      </c>
      <c r="L382">
        <v>2</v>
      </c>
      <c r="M382">
        <v>27620</v>
      </c>
      <c r="N382" t="s">
        <v>21</v>
      </c>
    </row>
    <row r="383" spans="5:14" x14ac:dyDescent="0.35">
      <c r="E383" t="s">
        <v>54</v>
      </c>
      <c r="F383" t="s">
        <v>31</v>
      </c>
      <c r="G383" t="s">
        <v>12</v>
      </c>
      <c r="H383" t="s">
        <v>22</v>
      </c>
      <c r="I383" t="s">
        <v>23</v>
      </c>
      <c r="J383" t="s">
        <v>25</v>
      </c>
      <c r="K383">
        <v>11789</v>
      </c>
      <c r="L383">
        <v>2</v>
      </c>
      <c r="M383">
        <v>23578</v>
      </c>
      <c r="N383" t="s">
        <v>16</v>
      </c>
    </row>
    <row r="384" spans="5:14" x14ac:dyDescent="0.35">
      <c r="E384" t="s">
        <v>54</v>
      </c>
      <c r="F384" t="s">
        <v>31</v>
      </c>
      <c r="G384" t="s">
        <v>12</v>
      </c>
      <c r="H384" t="s">
        <v>22</v>
      </c>
      <c r="I384" t="s">
        <v>23</v>
      </c>
      <c r="J384" t="s">
        <v>26</v>
      </c>
      <c r="K384">
        <v>8797</v>
      </c>
      <c r="L384">
        <v>5</v>
      </c>
      <c r="M384">
        <v>43985</v>
      </c>
      <c r="N384" t="s">
        <v>18</v>
      </c>
    </row>
    <row r="385" spans="5:14" x14ac:dyDescent="0.35">
      <c r="E385" t="s">
        <v>54</v>
      </c>
      <c r="F385" t="s">
        <v>31</v>
      </c>
      <c r="G385" t="s">
        <v>12</v>
      </c>
      <c r="H385" t="s">
        <v>22</v>
      </c>
      <c r="I385" t="s">
        <v>27</v>
      </c>
      <c r="J385" t="s">
        <v>28</v>
      </c>
      <c r="K385">
        <v>12313</v>
      </c>
      <c r="L385">
        <v>3</v>
      </c>
      <c r="M385">
        <v>36939</v>
      </c>
      <c r="N385" t="s">
        <v>16</v>
      </c>
    </row>
    <row r="386" spans="5:14" x14ac:dyDescent="0.35">
      <c r="E386" t="s">
        <v>54</v>
      </c>
      <c r="F386" t="s">
        <v>32</v>
      </c>
      <c r="G386" t="s">
        <v>12</v>
      </c>
      <c r="H386" t="s">
        <v>13</v>
      </c>
      <c r="I386" t="s">
        <v>14</v>
      </c>
      <c r="J386" t="s">
        <v>15</v>
      </c>
      <c r="K386">
        <v>8299</v>
      </c>
      <c r="L386">
        <v>10</v>
      </c>
      <c r="M386">
        <v>82990</v>
      </c>
      <c r="N386" t="s">
        <v>18</v>
      </c>
    </row>
    <row r="387" spans="5:14" x14ac:dyDescent="0.35">
      <c r="E387" t="s">
        <v>54</v>
      </c>
      <c r="F387" t="s">
        <v>32</v>
      </c>
      <c r="G387" t="s">
        <v>12</v>
      </c>
      <c r="H387" t="s">
        <v>13</v>
      </c>
      <c r="I387" t="s">
        <v>14</v>
      </c>
      <c r="J387" t="s">
        <v>17</v>
      </c>
      <c r="K387">
        <v>5040</v>
      </c>
      <c r="L387">
        <v>20</v>
      </c>
      <c r="M387">
        <v>100800</v>
      </c>
      <c r="N387" t="s">
        <v>16</v>
      </c>
    </row>
    <row r="388" spans="5:14" x14ac:dyDescent="0.35">
      <c r="E388" t="s">
        <v>54</v>
      </c>
      <c r="F388" t="s">
        <v>32</v>
      </c>
      <c r="G388" t="s">
        <v>12</v>
      </c>
      <c r="H388" t="s">
        <v>13</v>
      </c>
      <c r="I388" t="s">
        <v>14</v>
      </c>
      <c r="J388" t="s">
        <v>19</v>
      </c>
      <c r="K388">
        <v>8179</v>
      </c>
      <c r="L388">
        <v>30</v>
      </c>
      <c r="M388">
        <v>245370</v>
      </c>
      <c r="N388" t="s">
        <v>16</v>
      </c>
    </row>
    <row r="389" spans="5:14" x14ac:dyDescent="0.35">
      <c r="E389" t="s">
        <v>54</v>
      </c>
      <c r="F389" t="s">
        <v>32</v>
      </c>
      <c r="G389" t="s">
        <v>12</v>
      </c>
      <c r="H389" t="s">
        <v>13</v>
      </c>
      <c r="I389" t="s">
        <v>14</v>
      </c>
      <c r="J389" t="s">
        <v>20</v>
      </c>
      <c r="K389">
        <v>13941</v>
      </c>
      <c r="L389">
        <v>15</v>
      </c>
      <c r="M389">
        <v>209115</v>
      </c>
      <c r="N389" t="s">
        <v>21</v>
      </c>
    </row>
    <row r="390" spans="5:14" x14ac:dyDescent="0.35">
      <c r="E390" t="s">
        <v>54</v>
      </c>
      <c r="F390" t="s">
        <v>32</v>
      </c>
      <c r="G390" t="s">
        <v>12</v>
      </c>
      <c r="H390" t="s">
        <v>22</v>
      </c>
      <c r="I390" t="s">
        <v>23</v>
      </c>
      <c r="J390" t="s">
        <v>24</v>
      </c>
      <c r="K390">
        <v>7630</v>
      </c>
      <c r="L390">
        <v>2</v>
      </c>
      <c r="M390">
        <v>15260</v>
      </c>
      <c r="N390" t="s">
        <v>21</v>
      </c>
    </row>
    <row r="391" spans="5:14" x14ac:dyDescent="0.35">
      <c r="E391" t="s">
        <v>54</v>
      </c>
      <c r="F391" t="s">
        <v>32</v>
      </c>
      <c r="G391" t="s">
        <v>12</v>
      </c>
      <c r="H391" t="s">
        <v>22</v>
      </c>
      <c r="I391" t="s">
        <v>23</v>
      </c>
      <c r="J391" t="s">
        <v>25</v>
      </c>
      <c r="K391">
        <v>6921</v>
      </c>
      <c r="L391">
        <v>2</v>
      </c>
      <c r="M391">
        <v>13842</v>
      </c>
      <c r="N391" t="s">
        <v>21</v>
      </c>
    </row>
    <row r="392" spans="5:14" x14ac:dyDescent="0.35">
      <c r="E392" t="s">
        <v>54</v>
      </c>
      <c r="F392" t="s">
        <v>32</v>
      </c>
      <c r="G392" t="s">
        <v>12</v>
      </c>
      <c r="H392" t="s">
        <v>22</v>
      </c>
      <c r="I392" t="s">
        <v>23</v>
      </c>
      <c r="J392" t="s">
        <v>26</v>
      </c>
      <c r="K392">
        <v>12002</v>
      </c>
      <c r="L392">
        <v>5</v>
      </c>
      <c r="M392">
        <v>60010</v>
      </c>
      <c r="N392" t="s">
        <v>18</v>
      </c>
    </row>
    <row r="393" spans="5:14" x14ac:dyDescent="0.35">
      <c r="E393" t="s">
        <v>54</v>
      </c>
      <c r="F393" t="s">
        <v>32</v>
      </c>
      <c r="G393" t="s">
        <v>12</v>
      </c>
      <c r="H393" t="s">
        <v>22</v>
      </c>
      <c r="I393" t="s">
        <v>27</v>
      </c>
      <c r="J393" t="s">
        <v>28</v>
      </c>
      <c r="K393">
        <v>13048</v>
      </c>
      <c r="L393">
        <v>3</v>
      </c>
      <c r="M393">
        <v>39144</v>
      </c>
      <c r="N393" t="s">
        <v>16</v>
      </c>
    </row>
    <row r="394" spans="5:14" x14ac:dyDescent="0.35">
      <c r="E394" t="s">
        <v>54</v>
      </c>
      <c r="F394" t="s">
        <v>33</v>
      </c>
      <c r="G394" t="s">
        <v>12</v>
      </c>
      <c r="H394" t="s">
        <v>13</v>
      </c>
      <c r="I394" t="s">
        <v>14</v>
      </c>
      <c r="J394" t="s">
        <v>15</v>
      </c>
      <c r="K394">
        <v>13272</v>
      </c>
      <c r="L394">
        <v>10</v>
      </c>
      <c r="M394">
        <v>132720</v>
      </c>
      <c r="N394" t="s">
        <v>21</v>
      </c>
    </row>
    <row r="395" spans="5:14" x14ac:dyDescent="0.35">
      <c r="E395" t="s">
        <v>54</v>
      </c>
      <c r="F395" t="s">
        <v>33</v>
      </c>
      <c r="G395" t="s">
        <v>12</v>
      </c>
      <c r="H395" t="s">
        <v>13</v>
      </c>
      <c r="I395" t="s">
        <v>14</v>
      </c>
      <c r="J395" t="s">
        <v>17</v>
      </c>
      <c r="K395">
        <v>6773</v>
      </c>
      <c r="L395">
        <v>20</v>
      </c>
      <c r="M395">
        <v>135460</v>
      </c>
      <c r="N395" t="s">
        <v>21</v>
      </c>
    </row>
    <row r="396" spans="5:14" x14ac:dyDescent="0.35">
      <c r="E396" t="s">
        <v>54</v>
      </c>
      <c r="F396" t="s">
        <v>33</v>
      </c>
      <c r="G396" t="s">
        <v>12</v>
      </c>
      <c r="H396" t="s">
        <v>13</v>
      </c>
      <c r="I396" t="s">
        <v>14</v>
      </c>
      <c r="J396" t="s">
        <v>19</v>
      </c>
      <c r="K396">
        <v>11387</v>
      </c>
      <c r="L396">
        <v>30</v>
      </c>
      <c r="M396">
        <v>341610</v>
      </c>
      <c r="N396" t="s">
        <v>21</v>
      </c>
    </row>
    <row r="397" spans="5:14" x14ac:dyDescent="0.35">
      <c r="E397" t="s">
        <v>54</v>
      </c>
      <c r="F397" t="s">
        <v>33</v>
      </c>
      <c r="G397" t="s">
        <v>12</v>
      </c>
      <c r="H397" t="s">
        <v>13</v>
      </c>
      <c r="I397" t="s">
        <v>14</v>
      </c>
      <c r="J397" t="s">
        <v>20</v>
      </c>
      <c r="K397">
        <v>9115</v>
      </c>
      <c r="L397">
        <v>15</v>
      </c>
      <c r="M397">
        <v>136725</v>
      </c>
      <c r="N397" t="s">
        <v>16</v>
      </c>
    </row>
    <row r="398" spans="5:14" x14ac:dyDescent="0.35">
      <c r="E398" t="s">
        <v>54</v>
      </c>
      <c r="F398" t="s">
        <v>33</v>
      </c>
      <c r="G398" t="s">
        <v>12</v>
      </c>
      <c r="H398" t="s">
        <v>22</v>
      </c>
      <c r="I398" t="s">
        <v>23</v>
      </c>
      <c r="J398" t="s">
        <v>24</v>
      </c>
      <c r="K398">
        <v>6600</v>
      </c>
      <c r="L398">
        <v>2</v>
      </c>
      <c r="M398">
        <v>13200</v>
      </c>
      <c r="N398" t="s">
        <v>21</v>
      </c>
    </row>
    <row r="399" spans="5:14" x14ac:dyDescent="0.35">
      <c r="E399" t="s">
        <v>54</v>
      </c>
      <c r="F399" t="s">
        <v>33</v>
      </c>
      <c r="G399" t="s">
        <v>12</v>
      </c>
      <c r="H399" t="s">
        <v>22</v>
      </c>
      <c r="I399" t="s">
        <v>23</v>
      </c>
      <c r="J399" t="s">
        <v>25</v>
      </c>
      <c r="K399">
        <v>10979</v>
      </c>
      <c r="L399">
        <v>2</v>
      </c>
      <c r="M399">
        <v>21958</v>
      </c>
      <c r="N399" t="s">
        <v>18</v>
      </c>
    </row>
    <row r="400" spans="5:14" x14ac:dyDescent="0.35">
      <c r="E400" t="s">
        <v>54</v>
      </c>
      <c r="F400" t="s">
        <v>33</v>
      </c>
      <c r="G400" t="s">
        <v>12</v>
      </c>
      <c r="H400" t="s">
        <v>22</v>
      </c>
      <c r="I400" t="s">
        <v>23</v>
      </c>
      <c r="J400" t="s">
        <v>26</v>
      </c>
      <c r="K400">
        <v>8790</v>
      </c>
      <c r="L400">
        <v>5</v>
      </c>
      <c r="M400">
        <v>43950</v>
      </c>
      <c r="N400" t="s">
        <v>21</v>
      </c>
    </row>
    <row r="401" spans="5:14" x14ac:dyDescent="0.35">
      <c r="E401" t="s">
        <v>54</v>
      </c>
      <c r="F401" t="s">
        <v>33</v>
      </c>
      <c r="G401" t="s">
        <v>12</v>
      </c>
      <c r="H401" t="s">
        <v>22</v>
      </c>
      <c r="I401" t="s">
        <v>27</v>
      </c>
      <c r="J401" t="s">
        <v>28</v>
      </c>
      <c r="K401">
        <v>9043</v>
      </c>
      <c r="L401">
        <v>3</v>
      </c>
      <c r="M401">
        <v>27129</v>
      </c>
      <c r="N401" t="s">
        <v>16</v>
      </c>
    </row>
    <row r="402" spans="5:14" x14ac:dyDescent="0.35">
      <c r="E402" t="s">
        <v>54</v>
      </c>
      <c r="F402" t="s">
        <v>34</v>
      </c>
      <c r="G402" t="s">
        <v>12</v>
      </c>
      <c r="H402" t="s">
        <v>13</v>
      </c>
      <c r="I402" t="s">
        <v>14</v>
      </c>
      <c r="J402" t="s">
        <v>15</v>
      </c>
      <c r="K402">
        <v>13708</v>
      </c>
      <c r="L402">
        <v>10</v>
      </c>
      <c r="M402">
        <v>137080</v>
      </c>
      <c r="N402" t="s">
        <v>21</v>
      </c>
    </row>
    <row r="403" spans="5:14" x14ac:dyDescent="0.35">
      <c r="E403" t="s">
        <v>54</v>
      </c>
      <c r="F403" t="s">
        <v>34</v>
      </c>
      <c r="G403" t="s">
        <v>12</v>
      </c>
      <c r="H403" t="s">
        <v>13</v>
      </c>
      <c r="I403" t="s">
        <v>14</v>
      </c>
      <c r="J403" t="s">
        <v>17</v>
      </c>
      <c r="K403">
        <v>8793</v>
      </c>
      <c r="L403">
        <v>20</v>
      </c>
      <c r="M403">
        <v>175860</v>
      </c>
      <c r="N403" t="s">
        <v>18</v>
      </c>
    </row>
    <row r="404" spans="5:14" x14ac:dyDescent="0.35">
      <c r="E404" t="s">
        <v>54</v>
      </c>
      <c r="F404" t="s">
        <v>34</v>
      </c>
      <c r="G404" t="s">
        <v>12</v>
      </c>
      <c r="H404" t="s">
        <v>13</v>
      </c>
      <c r="I404" t="s">
        <v>14</v>
      </c>
      <c r="J404" t="s">
        <v>19</v>
      </c>
      <c r="K404">
        <v>10276</v>
      </c>
      <c r="L404">
        <v>30</v>
      </c>
      <c r="M404">
        <v>308280</v>
      </c>
      <c r="N404" t="s">
        <v>16</v>
      </c>
    </row>
    <row r="405" spans="5:14" x14ac:dyDescent="0.35">
      <c r="E405" t="s">
        <v>54</v>
      </c>
      <c r="F405" t="s">
        <v>34</v>
      </c>
      <c r="G405" t="s">
        <v>12</v>
      </c>
      <c r="H405" t="s">
        <v>13</v>
      </c>
      <c r="I405" t="s">
        <v>14</v>
      </c>
      <c r="J405" t="s">
        <v>20</v>
      </c>
      <c r="K405">
        <v>12810</v>
      </c>
      <c r="L405">
        <v>15</v>
      </c>
      <c r="M405">
        <v>192150</v>
      </c>
      <c r="N405" t="s">
        <v>21</v>
      </c>
    </row>
    <row r="406" spans="5:14" x14ac:dyDescent="0.35">
      <c r="E406" t="s">
        <v>54</v>
      </c>
      <c r="F406" t="s">
        <v>34</v>
      </c>
      <c r="G406" t="s">
        <v>12</v>
      </c>
      <c r="H406" t="s">
        <v>22</v>
      </c>
      <c r="I406" t="s">
        <v>23</v>
      </c>
      <c r="J406" t="s">
        <v>24</v>
      </c>
      <c r="K406">
        <v>14684</v>
      </c>
      <c r="L406">
        <v>2</v>
      </c>
      <c r="M406">
        <v>29368</v>
      </c>
      <c r="N406" t="s">
        <v>18</v>
      </c>
    </row>
    <row r="407" spans="5:14" x14ac:dyDescent="0.35">
      <c r="E407" t="s">
        <v>54</v>
      </c>
      <c r="F407" t="s">
        <v>34</v>
      </c>
      <c r="G407" t="s">
        <v>12</v>
      </c>
      <c r="H407" t="s">
        <v>22</v>
      </c>
      <c r="I407" t="s">
        <v>23</v>
      </c>
      <c r="J407" t="s">
        <v>25</v>
      </c>
      <c r="K407">
        <v>10320</v>
      </c>
      <c r="L407">
        <v>2</v>
      </c>
      <c r="M407">
        <v>20640</v>
      </c>
      <c r="N407" t="s">
        <v>16</v>
      </c>
    </row>
    <row r="408" spans="5:14" x14ac:dyDescent="0.35">
      <c r="E408" t="s">
        <v>54</v>
      </c>
      <c r="F408" t="s">
        <v>34</v>
      </c>
      <c r="G408" t="s">
        <v>12</v>
      </c>
      <c r="H408" t="s">
        <v>22</v>
      </c>
      <c r="I408" t="s">
        <v>23</v>
      </c>
      <c r="J408" t="s">
        <v>26</v>
      </c>
      <c r="K408">
        <v>5774</v>
      </c>
      <c r="L408">
        <v>5</v>
      </c>
      <c r="M408">
        <v>28870</v>
      </c>
      <c r="N408" t="s">
        <v>21</v>
      </c>
    </row>
    <row r="409" spans="5:14" x14ac:dyDescent="0.35">
      <c r="E409" t="s">
        <v>54</v>
      </c>
      <c r="F409" t="s">
        <v>34</v>
      </c>
      <c r="G409" t="s">
        <v>12</v>
      </c>
      <c r="H409" t="s">
        <v>22</v>
      </c>
      <c r="I409" t="s">
        <v>27</v>
      </c>
      <c r="J409" t="s">
        <v>28</v>
      </c>
      <c r="K409">
        <v>10057</v>
      </c>
      <c r="L409">
        <v>3</v>
      </c>
      <c r="M409">
        <v>30171</v>
      </c>
      <c r="N409" t="s">
        <v>18</v>
      </c>
    </row>
    <row r="410" spans="5:14" x14ac:dyDescent="0.35">
      <c r="E410" t="s">
        <v>54</v>
      </c>
      <c r="F410" t="s">
        <v>35</v>
      </c>
      <c r="G410" t="s">
        <v>36</v>
      </c>
      <c r="H410" t="s">
        <v>13</v>
      </c>
      <c r="I410" t="s">
        <v>14</v>
      </c>
      <c r="J410" t="s">
        <v>15</v>
      </c>
      <c r="K410">
        <v>6940</v>
      </c>
      <c r="L410">
        <v>10</v>
      </c>
      <c r="M410">
        <v>69400</v>
      </c>
      <c r="N410" t="s">
        <v>21</v>
      </c>
    </row>
    <row r="411" spans="5:14" x14ac:dyDescent="0.35">
      <c r="E411" t="s">
        <v>54</v>
      </c>
      <c r="F411" t="s">
        <v>35</v>
      </c>
      <c r="G411" t="s">
        <v>36</v>
      </c>
      <c r="H411" t="s">
        <v>13</v>
      </c>
      <c r="I411" t="s">
        <v>14</v>
      </c>
      <c r="J411" t="s">
        <v>17</v>
      </c>
      <c r="K411">
        <v>13999</v>
      </c>
      <c r="L411">
        <v>20</v>
      </c>
      <c r="M411">
        <v>279980</v>
      </c>
      <c r="N411" t="s">
        <v>16</v>
      </c>
    </row>
    <row r="412" spans="5:14" x14ac:dyDescent="0.35">
      <c r="E412" t="s">
        <v>54</v>
      </c>
      <c r="F412" t="s">
        <v>35</v>
      </c>
      <c r="G412" t="s">
        <v>36</v>
      </c>
      <c r="H412" t="s">
        <v>13</v>
      </c>
      <c r="I412" t="s">
        <v>14</v>
      </c>
      <c r="J412" t="s">
        <v>19</v>
      </c>
      <c r="K412">
        <v>6370</v>
      </c>
      <c r="L412">
        <v>30</v>
      </c>
      <c r="M412">
        <v>191100</v>
      </c>
      <c r="N412" t="s">
        <v>18</v>
      </c>
    </row>
    <row r="413" spans="5:14" x14ac:dyDescent="0.35">
      <c r="E413" t="s">
        <v>54</v>
      </c>
      <c r="F413" t="s">
        <v>35</v>
      </c>
      <c r="G413" t="s">
        <v>36</v>
      </c>
      <c r="H413" t="s">
        <v>13</v>
      </c>
      <c r="I413" t="s">
        <v>14</v>
      </c>
      <c r="J413" t="s">
        <v>20</v>
      </c>
      <c r="K413">
        <v>14475</v>
      </c>
      <c r="L413">
        <v>15</v>
      </c>
      <c r="M413">
        <v>217125</v>
      </c>
      <c r="N413" t="s">
        <v>18</v>
      </c>
    </row>
    <row r="414" spans="5:14" x14ac:dyDescent="0.35">
      <c r="E414" t="s">
        <v>54</v>
      </c>
      <c r="F414" t="s">
        <v>35</v>
      </c>
      <c r="G414" t="s">
        <v>36</v>
      </c>
      <c r="H414" t="s">
        <v>22</v>
      </c>
      <c r="I414" t="s">
        <v>23</v>
      </c>
      <c r="J414" t="s">
        <v>24</v>
      </c>
      <c r="K414">
        <v>13624</v>
      </c>
      <c r="L414">
        <v>2</v>
      </c>
      <c r="M414">
        <v>27248</v>
      </c>
      <c r="N414" t="s">
        <v>18</v>
      </c>
    </row>
    <row r="415" spans="5:14" x14ac:dyDescent="0.35">
      <c r="E415" t="s">
        <v>54</v>
      </c>
      <c r="F415" t="s">
        <v>35</v>
      </c>
      <c r="G415" t="s">
        <v>36</v>
      </c>
      <c r="H415" t="s">
        <v>22</v>
      </c>
      <c r="I415" t="s">
        <v>23</v>
      </c>
      <c r="J415" t="s">
        <v>25</v>
      </c>
      <c r="K415">
        <v>11630</v>
      </c>
      <c r="L415">
        <v>2</v>
      </c>
      <c r="M415">
        <v>23260</v>
      </c>
      <c r="N415" t="s">
        <v>18</v>
      </c>
    </row>
    <row r="416" spans="5:14" x14ac:dyDescent="0.35">
      <c r="E416" t="s">
        <v>54</v>
      </c>
      <c r="F416" t="s">
        <v>35</v>
      </c>
      <c r="G416" t="s">
        <v>36</v>
      </c>
      <c r="H416" t="s">
        <v>22</v>
      </c>
      <c r="I416" t="s">
        <v>23</v>
      </c>
      <c r="J416" t="s">
        <v>26</v>
      </c>
      <c r="K416">
        <v>13601</v>
      </c>
      <c r="L416">
        <v>5</v>
      </c>
      <c r="M416">
        <v>68005</v>
      </c>
      <c r="N416" t="s">
        <v>16</v>
      </c>
    </row>
    <row r="417" spans="5:14" x14ac:dyDescent="0.35">
      <c r="E417" t="s">
        <v>54</v>
      </c>
      <c r="F417" t="s">
        <v>35</v>
      </c>
      <c r="G417" t="s">
        <v>36</v>
      </c>
      <c r="H417" t="s">
        <v>22</v>
      </c>
      <c r="I417" t="s">
        <v>27</v>
      </c>
      <c r="J417" t="s">
        <v>28</v>
      </c>
      <c r="K417">
        <v>6069</v>
      </c>
      <c r="L417">
        <v>3</v>
      </c>
      <c r="M417">
        <v>18207</v>
      </c>
      <c r="N417" t="s">
        <v>16</v>
      </c>
    </row>
    <row r="418" spans="5:14" x14ac:dyDescent="0.35">
      <c r="E418" t="s">
        <v>54</v>
      </c>
      <c r="F418" t="s">
        <v>37</v>
      </c>
      <c r="G418" t="s">
        <v>36</v>
      </c>
      <c r="H418" t="s">
        <v>13</v>
      </c>
      <c r="I418" t="s">
        <v>14</v>
      </c>
      <c r="J418" t="s">
        <v>15</v>
      </c>
      <c r="K418">
        <v>8492</v>
      </c>
      <c r="L418">
        <v>10</v>
      </c>
      <c r="M418">
        <v>84920</v>
      </c>
      <c r="N418" t="s">
        <v>16</v>
      </c>
    </row>
    <row r="419" spans="5:14" x14ac:dyDescent="0.35">
      <c r="E419" t="s">
        <v>54</v>
      </c>
      <c r="F419" t="s">
        <v>37</v>
      </c>
      <c r="G419" t="s">
        <v>36</v>
      </c>
      <c r="H419" t="s">
        <v>13</v>
      </c>
      <c r="I419" t="s">
        <v>14</v>
      </c>
      <c r="J419" t="s">
        <v>17</v>
      </c>
      <c r="K419">
        <v>11495</v>
      </c>
      <c r="L419">
        <v>20</v>
      </c>
      <c r="M419">
        <v>229900</v>
      </c>
      <c r="N419" t="s">
        <v>21</v>
      </c>
    </row>
    <row r="420" spans="5:14" x14ac:dyDescent="0.35">
      <c r="E420" t="s">
        <v>54</v>
      </c>
      <c r="F420" t="s">
        <v>37</v>
      </c>
      <c r="G420" t="s">
        <v>36</v>
      </c>
      <c r="H420" t="s">
        <v>13</v>
      </c>
      <c r="I420" t="s">
        <v>14</v>
      </c>
      <c r="J420" t="s">
        <v>19</v>
      </c>
      <c r="K420">
        <v>5205</v>
      </c>
      <c r="L420">
        <v>30</v>
      </c>
      <c r="M420">
        <v>156150</v>
      </c>
      <c r="N420" t="s">
        <v>21</v>
      </c>
    </row>
    <row r="421" spans="5:14" x14ac:dyDescent="0.35">
      <c r="E421" t="s">
        <v>54</v>
      </c>
      <c r="F421" t="s">
        <v>37</v>
      </c>
      <c r="G421" t="s">
        <v>36</v>
      </c>
      <c r="H421" t="s">
        <v>13</v>
      </c>
      <c r="I421" t="s">
        <v>14</v>
      </c>
      <c r="J421" t="s">
        <v>20</v>
      </c>
      <c r="K421">
        <v>7708</v>
      </c>
      <c r="L421">
        <v>15</v>
      </c>
      <c r="M421">
        <v>115620</v>
      </c>
      <c r="N421" t="s">
        <v>21</v>
      </c>
    </row>
    <row r="422" spans="5:14" x14ac:dyDescent="0.35">
      <c r="E422" t="s">
        <v>54</v>
      </c>
      <c r="F422" t="s">
        <v>37</v>
      </c>
      <c r="G422" t="s">
        <v>36</v>
      </c>
      <c r="H422" t="s">
        <v>22</v>
      </c>
      <c r="I422" t="s">
        <v>23</v>
      </c>
      <c r="J422" t="s">
        <v>24</v>
      </c>
      <c r="K422">
        <v>11022</v>
      </c>
      <c r="L422">
        <v>2</v>
      </c>
      <c r="M422">
        <v>22044</v>
      </c>
      <c r="N422" t="s">
        <v>16</v>
      </c>
    </row>
    <row r="423" spans="5:14" x14ac:dyDescent="0.35">
      <c r="E423" t="s">
        <v>54</v>
      </c>
      <c r="F423" t="s">
        <v>37</v>
      </c>
      <c r="G423" t="s">
        <v>36</v>
      </c>
      <c r="H423" t="s">
        <v>22</v>
      </c>
      <c r="I423" t="s">
        <v>23</v>
      </c>
      <c r="J423" t="s">
        <v>25</v>
      </c>
      <c r="K423">
        <v>11186</v>
      </c>
      <c r="L423">
        <v>2</v>
      </c>
      <c r="M423">
        <v>22372</v>
      </c>
      <c r="N423" t="s">
        <v>18</v>
      </c>
    </row>
    <row r="424" spans="5:14" x14ac:dyDescent="0.35">
      <c r="E424" t="s">
        <v>54</v>
      </c>
      <c r="F424" t="s">
        <v>37</v>
      </c>
      <c r="G424" t="s">
        <v>36</v>
      </c>
      <c r="H424" t="s">
        <v>22</v>
      </c>
      <c r="I424" t="s">
        <v>23</v>
      </c>
      <c r="J424" t="s">
        <v>26</v>
      </c>
      <c r="K424">
        <v>11494</v>
      </c>
      <c r="L424">
        <v>5</v>
      </c>
      <c r="M424">
        <v>57470</v>
      </c>
      <c r="N424" t="s">
        <v>18</v>
      </c>
    </row>
    <row r="425" spans="5:14" x14ac:dyDescent="0.35">
      <c r="E425" t="s">
        <v>54</v>
      </c>
      <c r="F425" t="s">
        <v>37</v>
      </c>
      <c r="G425" t="s">
        <v>36</v>
      </c>
      <c r="H425" t="s">
        <v>22</v>
      </c>
      <c r="I425" t="s">
        <v>27</v>
      </c>
      <c r="J425" t="s">
        <v>28</v>
      </c>
      <c r="K425">
        <v>5526</v>
      </c>
      <c r="L425">
        <v>3</v>
      </c>
      <c r="M425">
        <v>16578</v>
      </c>
      <c r="N425" t="s">
        <v>18</v>
      </c>
    </row>
    <row r="426" spans="5:14" x14ac:dyDescent="0.35">
      <c r="E426" t="s">
        <v>54</v>
      </c>
      <c r="F426" t="s">
        <v>38</v>
      </c>
      <c r="G426" t="s">
        <v>36</v>
      </c>
      <c r="H426" t="s">
        <v>13</v>
      </c>
      <c r="I426" t="s">
        <v>14</v>
      </c>
      <c r="J426" t="s">
        <v>15</v>
      </c>
      <c r="K426">
        <v>13736</v>
      </c>
      <c r="L426">
        <v>10</v>
      </c>
      <c r="M426">
        <v>137360</v>
      </c>
      <c r="N426" t="s">
        <v>18</v>
      </c>
    </row>
    <row r="427" spans="5:14" x14ac:dyDescent="0.35">
      <c r="E427" t="s">
        <v>54</v>
      </c>
      <c r="F427" t="s">
        <v>38</v>
      </c>
      <c r="G427" t="s">
        <v>36</v>
      </c>
      <c r="H427" t="s">
        <v>13</v>
      </c>
      <c r="I427" t="s">
        <v>14</v>
      </c>
      <c r="J427" t="s">
        <v>17</v>
      </c>
      <c r="K427">
        <v>8918</v>
      </c>
      <c r="L427">
        <v>20</v>
      </c>
      <c r="M427">
        <v>178360</v>
      </c>
      <c r="N427" t="s">
        <v>16</v>
      </c>
    </row>
    <row r="428" spans="5:14" x14ac:dyDescent="0.35">
      <c r="E428" t="s">
        <v>54</v>
      </c>
      <c r="F428" t="s">
        <v>38</v>
      </c>
      <c r="G428" t="s">
        <v>36</v>
      </c>
      <c r="H428" t="s">
        <v>13</v>
      </c>
      <c r="I428" t="s">
        <v>14</v>
      </c>
      <c r="J428" t="s">
        <v>19</v>
      </c>
      <c r="K428">
        <v>11369</v>
      </c>
      <c r="L428">
        <v>30</v>
      </c>
      <c r="M428">
        <v>341070</v>
      </c>
      <c r="N428" t="s">
        <v>21</v>
      </c>
    </row>
    <row r="429" spans="5:14" x14ac:dyDescent="0.35">
      <c r="E429" t="s">
        <v>54</v>
      </c>
      <c r="F429" t="s">
        <v>38</v>
      </c>
      <c r="G429" t="s">
        <v>36</v>
      </c>
      <c r="H429" t="s">
        <v>13</v>
      </c>
      <c r="I429" t="s">
        <v>14</v>
      </c>
      <c r="J429" t="s">
        <v>20</v>
      </c>
      <c r="K429">
        <v>11145</v>
      </c>
      <c r="L429">
        <v>15</v>
      </c>
      <c r="M429">
        <v>167175</v>
      </c>
      <c r="N429" t="s">
        <v>18</v>
      </c>
    </row>
    <row r="430" spans="5:14" x14ac:dyDescent="0.35">
      <c r="E430" t="s">
        <v>54</v>
      </c>
      <c r="F430" t="s">
        <v>38</v>
      </c>
      <c r="G430" t="s">
        <v>36</v>
      </c>
      <c r="H430" t="s">
        <v>22</v>
      </c>
      <c r="I430" t="s">
        <v>23</v>
      </c>
      <c r="J430" t="s">
        <v>24</v>
      </c>
      <c r="K430">
        <v>12341</v>
      </c>
      <c r="L430">
        <v>2</v>
      </c>
      <c r="M430">
        <v>24682</v>
      </c>
      <c r="N430" t="s">
        <v>18</v>
      </c>
    </row>
    <row r="431" spans="5:14" x14ac:dyDescent="0.35">
      <c r="E431" t="s">
        <v>54</v>
      </c>
      <c r="F431" t="s">
        <v>38</v>
      </c>
      <c r="G431" t="s">
        <v>36</v>
      </c>
      <c r="H431" t="s">
        <v>22</v>
      </c>
      <c r="I431" t="s">
        <v>23</v>
      </c>
      <c r="J431" t="s">
        <v>25</v>
      </c>
      <c r="K431">
        <v>5484</v>
      </c>
      <c r="L431">
        <v>2</v>
      </c>
      <c r="M431">
        <v>10968</v>
      </c>
      <c r="N431" t="s">
        <v>21</v>
      </c>
    </row>
    <row r="432" spans="5:14" x14ac:dyDescent="0.35">
      <c r="E432" t="s">
        <v>54</v>
      </c>
      <c r="F432" t="s">
        <v>38</v>
      </c>
      <c r="G432" t="s">
        <v>36</v>
      </c>
      <c r="H432" t="s">
        <v>22</v>
      </c>
      <c r="I432" t="s">
        <v>23</v>
      </c>
      <c r="J432" t="s">
        <v>26</v>
      </c>
      <c r="K432">
        <v>6721</v>
      </c>
      <c r="L432">
        <v>5</v>
      </c>
      <c r="M432">
        <v>33605</v>
      </c>
      <c r="N432" t="s">
        <v>16</v>
      </c>
    </row>
    <row r="433" spans="5:14" x14ac:dyDescent="0.35">
      <c r="E433" t="s">
        <v>54</v>
      </c>
      <c r="F433" t="s">
        <v>38</v>
      </c>
      <c r="G433" t="s">
        <v>36</v>
      </c>
      <c r="H433" t="s">
        <v>22</v>
      </c>
      <c r="I433" t="s">
        <v>27</v>
      </c>
      <c r="J433" t="s">
        <v>28</v>
      </c>
      <c r="K433">
        <v>8909</v>
      </c>
      <c r="L433">
        <v>3</v>
      </c>
      <c r="M433">
        <v>26727</v>
      </c>
      <c r="N433" t="s">
        <v>18</v>
      </c>
    </row>
    <row r="434" spans="5:14" x14ac:dyDescent="0.35">
      <c r="E434" t="s">
        <v>54</v>
      </c>
      <c r="F434" t="s">
        <v>39</v>
      </c>
      <c r="G434" t="s">
        <v>36</v>
      </c>
      <c r="H434" t="s">
        <v>13</v>
      </c>
      <c r="I434" t="s">
        <v>14</v>
      </c>
      <c r="J434" t="s">
        <v>15</v>
      </c>
      <c r="K434">
        <v>7334</v>
      </c>
      <c r="L434">
        <v>10</v>
      </c>
      <c r="M434">
        <v>73340</v>
      </c>
      <c r="N434" t="s">
        <v>18</v>
      </c>
    </row>
    <row r="435" spans="5:14" x14ac:dyDescent="0.35">
      <c r="E435" t="s">
        <v>54</v>
      </c>
      <c r="F435" t="s">
        <v>39</v>
      </c>
      <c r="G435" t="s">
        <v>36</v>
      </c>
      <c r="H435" t="s">
        <v>13</v>
      </c>
      <c r="I435" t="s">
        <v>14</v>
      </c>
      <c r="J435" t="s">
        <v>17</v>
      </c>
      <c r="K435">
        <v>9134</v>
      </c>
      <c r="L435">
        <v>20</v>
      </c>
      <c r="M435">
        <v>182680</v>
      </c>
      <c r="N435" t="s">
        <v>16</v>
      </c>
    </row>
    <row r="436" spans="5:14" x14ac:dyDescent="0.35">
      <c r="E436" t="s">
        <v>54</v>
      </c>
      <c r="F436" t="s">
        <v>39</v>
      </c>
      <c r="G436" t="s">
        <v>36</v>
      </c>
      <c r="H436" t="s">
        <v>13</v>
      </c>
      <c r="I436" t="s">
        <v>14</v>
      </c>
      <c r="J436" t="s">
        <v>19</v>
      </c>
      <c r="K436">
        <v>11522</v>
      </c>
      <c r="L436">
        <v>30</v>
      </c>
      <c r="M436">
        <v>345660</v>
      </c>
      <c r="N436" t="s">
        <v>18</v>
      </c>
    </row>
    <row r="437" spans="5:14" x14ac:dyDescent="0.35">
      <c r="E437" t="s">
        <v>54</v>
      </c>
      <c r="F437" t="s">
        <v>39</v>
      </c>
      <c r="G437" t="s">
        <v>36</v>
      </c>
      <c r="H437" t="s">
        <v>13</v>
      </c>
      <c r="I437" t="s">
        <v>14</v>
      </c>
      <c r="J437" t="s">
        <v>20</v>
      </c>
      <c r="K437">
        <v>12665</v>
      </c>
      <c r="L437">
        <v>15</v>
      </c>
      <c r="M437">
        <v>189975</v>
      </c>
      <c r="N437" t="s">
        <v>16</v>
      </c>
    </row>
    <row r="438" spans="5:14" x14ac:dyDescent="0.35">
      <c r="E438" t="s">
        <v>54</v>
      </c>
      <c r="F438" t="s">
        <v>39</v>
      </c>
      <c r="G438" t="s">
        <v>36</v>
      </c>
      <c r="H438" t="s">
        <v>22</v>
      </c>
      <c r="I438" t="s">
        <v>23</v>
      </c>
      <c r="J438" t="s">
        <v>24</v>
      </c>
      <c r="K438">
        <v>8870</v>
      </c>
      <c r="L438">
        <v>2</v>
      </c>
      <c r="M438">
        <v>17740</v>
      </c>
      <c r="N438" t="s">
        <v>16</v>
      </c>
    </row>
    <row r="439" spans="5:14" x14ac:dyDescent="0.35">
      <c r="E439" t="s">
        <v>54</v>
      </c>
      <c r="F439" t="s">
        <v>39</v>
      </c>
      <c r="G439" t="s">
        <v>36</v>
      </c>
      <c r="H439" t="s">
        <v>22</v>
      </c>
      <c r="I439" t="s">
        <v>23</v>
      </c>
      <c r="J439" t="s">
        <v>25</v>
      </c>
      <c r="K439">
        <v>8389</v>
      </c>
      <c r="L439">
        <v>2</v>
      </c>
      <c r="M439">
        <v>16778</v>
      </c>
      <c r="N439" t="s">
        <v>21</v>
      </c>
    </row>
    <row r="440" spans="5:14" x14ac:dyDescent="0.35">
      <c r="E440" t="s">
        <v>54</v>
      </c>
      <c r="F440" t="s">
        <v>39</v>
      </c>
      <c r="G440" t="s">
        <v>36</v>
      </c>
      <c r="H440" t="s">
        <v>22</v>
      </c>
      <c r="I440" t="s">
        <v>23</v>
      </c>
      <c r="J440" t="s">
        <v>26</v>
      </c>
      <c r="K440">
        <v>11522</v>
      </c>
      <c r="L440">
        <v>5</v>
      </c>
      <c r="M440">
        <v>57610</v>
      </c>
      <c r="N440" t="s">
        <v>16</v>
      </c>
    </row>
    <row r="441" spans="5:14" x14ac:dyDescent="0.35">
      <c r="E441" t="s">
        <v>54</v>
      </c>
      <c r="F441" t="s">
        <v>39</v>
      </c>
      <c r="G441" t="s">
        <v>36</v>
      </c>
      <c r="H441" t="s">
        <v>22</v>
      </c>
      <c r="I441" t="s">
        <v>27</v>
      </c>
      <c r="J441" t="s">
        <v>28</v>
      </c>
      <c r="K441">
        <v>14019</v>
      </c>
      <c r="L441">
        <v>3</v>
      </c>
      <c r="M441">
        <v>42057</v>
      </c>
      <c r="N441" t="s">
        <v>16</v>
      </c>
    </row>
    <row r="442" spans="5:14" x14ac:dyDescent="0.35">
      <c r="E442" t="s">
        <v>54</v>
      </c>
      <c r="F442" t="s">
        <v>40</v>
      </c>
      <c r="G442" t="s">
        <v>36</v>
      </c>
      <c r="H442" t="s">
        <v>13</v>
      </c>
      <c r="I442" t="s">
        <v>14</v>
      </c>
      <c r="J442" t="s">
        <v>15</v>
      </c>
      <c r="K442">
        <v>8170</v>
      </c>
      <c r="L442">
        <v>10</v>
      </c>
      <c r="M442">
        <v>81700</v>
      </c>
      <c r="N442" t="s">
        <v>21</v>
      </c>
    </row>
    <row r="443" spans="5:14" x14ac:dyDescent="0.35">
      <c r="E443" t="s">
        <v>54</v>
      </c>
      <c r="F443" t="s">
        <v>40</v>
      </c>
      <c r="G443" t="s">
        <v>36</v>
      </c>
      <c r="H443" t="s">
        <v>13</v>
      </c>
      <c r="I443" t="s">
        <v>14</v>
      </c>
      <c r="J443" t="s">
        <v>17</v>
      </c>
      <c r="K443">
        <v>8152</v>
      </c>
      <c r="L443">
        <v>20</v>
      </c>
      <c r="M443">
        <v>163040</v>
      </c>
      <c r="N443" t="s">
        <v>21</v>
      </c>
    </row>
    <row r="444" spans="5:14" x14ac:dyDescent="0.35">
      <c r="E444" t="s">
        <v>54</v>
      </c>
      <c r="F444" t="s">
        <v>40</v>
      </c>
      <c r="G444" t="s">
        <v>36</v>
      </c>
      <c r="H444" t="s">
        <v>13</v>
      </c>
      <c r="I444" t="s">
        <v>14</v>
      </c>
      <c r="J444" t="s">
        <v>19</v>
      </c>
      <c r="K444">
        <v>6161</v>
      </c>
      <c r="L444">
        <v>30</v>
      </c>
      <c r="M444">
        <v>184830</v>
      </c>
      <c r="N444" t="s">
        <v>18</v>
      </c>
    </row>
    <row r="445" spans="5:14" x14ac:dyDescent="0.35">
      <c r="E445" t="s">
        <v>54</v>
      </c>
      <c r="F445" t="s">
        <v>40</v>
      </c>
      <c r="G445" t="s">
        <v>36</v>
      </c>
      <c r="H445" t="s">
        <v>13</v>
      </c>
      <c r="I445" t="s">
        <v>14</v>
      </c>
      <c r="J445" t="s">
        <v>20</v>
      </c>
      <c r="K445">
        <v>14012</v>
      </c>
      <c r="L445">
        <v>15</v>
      </c>
      <c r="M445">
        <v>210180</v>
      </c>
      <c r="N445" t="s">
        <v>21</v>
      </c>
    </row>
    <row r="446" spans="5:14" x14ac:dyDescent="0.35">
      <c r="E446" t="s">
        <v>54</v>
      </c>
      <c r="F446" t="s">
        <v>40</v>
      </c>
      <c r="G446" t="s">
        <v>36</v>
      </c>
      <c r="H446" t="s">
        <v>22</v>
      </c>
      <c r="I446" t="s">
        <v>23</v>
      </c>
      <c r="J446" t="s">
        <v>24</v>
      </c>
      <c r="K446">
        <v>6036</v>
      </c>
      <c r="L446">
        <v>2</v>
      </c>
      <c r="M446">
        <v>12072</v>
      </c>
      <c r="N446" t="s">
        <v>21</v>
      </c>
    </row>
    <row r="447" spans="5:14" x14ac:dyDescent="0.35">
      <c r="E447" t="s">
        <v>54</v>
      </c>
      <c r="F447" t="s">
        <v>40</v>
      </c>
      <c r="G447" t="s">
        <v>36</v>
      </c>
      <c r="H447" t="s">
        <v>22</v>
      </c>
      <c r="I447" t="s">
        <v>23</v>
      </c>
      <c r="J447" t="s">
        <v>25</v>
      </c>
      <c r="K447">
        <v>7235</v>
      </c>
      <c r="L447">
        <v>2</v>
      </c>
      <c r="M447">
        <v>14470</v>
      </c>
      <c r="N447" t="s">
        <v>16</v>
      </c>
    </row>
    <row r="448" spans="5:14" x14ac:dyDescent="0.35">
      <c r="E448" t="s">
        <v>54</v>
      </c>
      <c r="F448" t="s">
        <v>40</v>
      </c>
      <c r="G448" t="s">
        <v>36</v>
      </c>
      <c r="H448" t="s">
        <v>22</v>
      </c>
      <c r="I448" t="s">
        <v>23</v>
      </c>
      <c r="J448" t="s">
        <v>26</v>
      </c>
      <c r="K448">
        <v>13381</v>
      </c>
      <c r="L448">
        <v>5</v>
      </c>
      <c r="M448">
        <v>66905</v>
      </c>
      <c r="N448" t="s">
        <v>21</v>
      </c>
    </row>
    <row r="449" spans="5:14" x14ac:dyDescent="0.35">
      <c r="E449" t="s">
        <v>54</v>
      </c>
      <c r="F449" t="s">
        <v>40</v>
      </c>
      <c r="G449" t="s">
        <v>36</v>
      </c>
      <c r="H449" t="s">
        <v>22</v>
      </c>
      <c r="I449" t="s">
        <v>27</v>
      </c>
      <c r="J449" t="s">
        <v>28</v>
      </c>
      <c r="K449">
        <v>6572</v>
      </c>
      <c r="L449">
        <v>3</v>
      </c>
      <c r="M449">
        <v>19716</v>
      </c>
      <c r="N449" t="s">
        <v>21</v>
      </c>
    </row>
    <row r="450" spans="5:14" x14ac:dyDescent="0.35">
      <c r="E450" t="s">
        <v>54</v>
      </c>
      <c r="F450" t="s">
        <v>41</v>
      </c>
      <c r="G450" t="s">
        <v>42</v>
      </c>
      <c r="H450" t="s">
        <v>13</v>
      </c>
      <c r="I450" t="s">
        <v>14</v>
      </c>
      <c r="J450" t="s">
        <v>15</v>
      </c>
      <c r="K450">
        <v>11584</v>
      </c>
      <c r="L450">
        <v>10</v>
      </c>
      <c r="M450">
        <v>115840</v>
      </c>
      <c r="N450" t="s">
        <v>16</v>
      </c>
    </row>
    <row r="451" spans="5:14" x14ac:dyDescent="0.35">
      <c r="E451" t="s">
        <v>54</v>
      </c>
      <c r="F451" t="s">
        <v>41</v>
      </c>
      <c r="G451" t="s">
        <v>42</v>
      </c>
      <c r="H451" t="s">
        <v>13</v>
      </c>
      <c r="I451" t="s">
        <v>14</v>
      </c>
      <c r="J451" t="s">
        <v>17</v>
      </c>
      <c r="K451">
        <v>13007</v>
      </c>
      <c r="L451">
        <v>20</v>
      </c>
      <c r="M451">
        <v>260140</v>
      </c>
      <c r="N451" t="s">
        <v>18</v>
      </c>
    </row>
    <row r="452" spans="5:14" x14ac:dyDescent="0.35">
      <c r="E452" t="s">
        <v>54</v>
      </c>
      <c r="F452" t="s">
        <v>41</v>
      </c>
      <c r="G452" t="s">
        <v>42</v>
      </c>
      <c r="H452" t="s">
        <v>13</v>
      </c>
      <c r="I452" t="s">
        <v>14</v>
      </c>
      <c r="J452" t="s">
        <v>19</v>
      </c>
      <c r="K452">
        <v>10016</v>
      </c>
      <c r="L452">
        <v>30</v>
      </c>
      <c r="M452">
        <v>300480</v>
      </c>
      <c r="N452" t="s">
        <v>16</v>
      </c>
    </row>
    <row r="453" spans="5:14" x14ac:dyDescent="0.35">
      <c r="E453" t="s">
        <v>54</v>
      </c>
      <c r="F453" t="s">
        <v>41</v>
      </c>
      <c r="G453" t="s">
        <v>42</v>
      </c>
      <c r="H453" t="s">
        <v>13</v>
      </c>
      <c r="I453" t="s">
        <v>14</v>
      </c>
      <c r="J453" t="s">
        <v>20</v>
      </c>
      <c r="K453">
        <v>7362</v>
      </c>
      <c r="L453">
        <v>15</v>
      </c>
      <c r="M453">
        <v>110430</v>
      </c>
      <c r="N453" t="s">
        <v>21</v>
      </c>
    </row>
    <row r="454" spans="5:14" x14ac:dyDescent="0.35">
      <c r="E454" t="s">
        <v>54</v>
      </c>
      <c r="F454" t="s">
        <v>41</v>
      </c>
      <c r="G454" t="s">
        <v>42</v>
      </c>
      <c r="H454" t="s">
        <v>22</v>
      </c>
      <c r="I454" t="s">
        <v>23</v>
      </c>
      <c r="J454" t="s">
        <v>24</v>
      </c>
      <c r="K454">
        <v>11251</v>
      </c>
      <c r="L454">
        <v>2</v>
      </c>
      <c r="M454">
        <v>22502</v>
      </c>
      <c r="N454" t="s">
        <v>21</v>
      </c>
    </row>
    <row r="455" spans="5:14" x14ac:dyDescent="0.35">
      <c r="E455" t="s">
        <v>54</v>
      </c>
      <c r="F455" t="s">
        <v>41</v>
      </c>
      <c r="G455" t="s">
        <v>42</v>
      </c>
      <c r="H455" t="s">
        <v>22</v>
      </c>
      <c r="I455" t="s">
        <v>23</v>
      </c>
      <c r="J455" t="s">
        <v>25</v>
      </c>
      <c r="K455">
        <v>14940</v>
      </c>
      <c r="L455">
        <v>2</v>
      </c>
      <c r="M455">
        <v>29880</v>
      </c>
      <c r="N455" t="s">
        <v>21</v>
      </c>
    </row>
    <row r="456" spans="5:14" x14ac:dyDescent="0.35">
      <c r="E456" t="s">
        <v>54</v>
      </c>
      <c r="F456" t="s">
        <v>41</v>
      </c>
      <c r="G456" t="s">
        <v>42</v>
      </c>
      <c r="H456" t="s">
        <v>22</v>
      </c>
      <c r="I456" t="s">
        <v>23</v>
      </c>
      <c r="J456" t="s">
        <v>26</v>
      </c>
      <c r="K456">
        <v>8472</v>
      </c>
      <c r="L456">
        <v>5</v>
      </c>
      <c r="M456">
        <v>42360</v>
      </c>
      <c r="N456" t="s">
        <v>18</v>
      </c>
    </row>
    <row r="457" spans="5:14" x14ac:dyDescent="0.35">
      <c r="E457" t="s">
        <v>54</v>
      </c>
      <c r="F457" t="s">
        <v>41</v>
      </c>
      <c r="G457" t="s">
        <v>42</v>
      </c>
      <c r="H457" t="s">
        <v>22</v>
      </c>
      <c r="I457" t="s">
        <v>27</v>
      </c>
      <c r="J457" t="s">
        <v>28</v>
      </c>
      <c r="K457">
        <v>8821</v>
      </c>
      <c r="L457">
        <v>3</v>
      </c>
      <c r="M457">
        <v>26463</v>
      </c>
      <c r="N457" t="s">
        <v>18</v>
      </c>
    </row>
    <row r="458" spans="5:14" x14ac:dyDescent="0.35">
      <c r="E458" t="s">
        <v>54</v>
      </c>
      <c r="F458" t="s">
        <v>43</v>
      </c>
      <c r="G458" t="s">
        <v>42</v>
      </c>
      <c r="H458" t="s">
        <v>13</v>
      </c>
      <c r="I458" t="s">
        <v>14</v>
      </c>
      <c r="J458" t="s">
        <v>15</v>
      </c>
      <c r="K458">
        <v>14399</v>
      </c>
      <c r="L458">
        <v>10</v>
      </c>
      <c r="M458">
        <v>143990</v>
      </c>
      <c r="N458" t="s">
        <v>16</v>
      </c>
    </row>
    <row r="459" spans="5:14" x14ac:dyDescent="0.35">
      <c r="E459" t="s">
        <v>54</v>
      </c>
      <c r="F459" t="s">
        <v>43</v>
      </c>
      <c r="G459" t="s">
        <v>42</v>
      </c>
      <c r="H459" t="s">
        <v>13</v>
      </c>
      <c r="I459" t="s">
        <v>14</v>
      </c>
      <c r="J459" t="s">
        <v>17</v>
      </c>
      <c r="K459">
        <v>12212</v>
      </c>
      <c r="L459">
        <v>20</v>
      </c>
      <c r="M459">
        <v>244240</v>
      </c>
      <c r="N459" t="s">
        <v>18</v>
      </c>
    </row>
    <row r="460" spans="5:14" x14ac:dyDescent="0.35">
      <c r="E460" t="s">
        <v>54</v>
      </c>
      <c r="F460" t="s">
        <v>43</v>
      </c>
      <c r="G460" t="s">
        <v>42</v>
      </c>
      <c r="H460" t="s">
        <v>13</v>
      </c>
      <c r="I460" t="s">
        <v>14</v>
      </c>
      <c r="J460" t="s">
        <v>19</v>
      </c>
      <c r="K460">
        <v>9691</v>
      </c>
      <c r="L460">
        <v>30</v>
      </c>
      <c r="M460">
        <v>290730</v>
      </c>
      <c r="N460" t="s">
        <v>21</v>
      </c>
    </row>
    <row r="461" spans="5:14" x14ac:dyDescent="0.35">
      <c r="E461" t="s">
        <v>54</v>
      </c>
      <c r="F461" t="s">
        <v>43</v>
      </c>
      <c r="G461" t="s">
        <v>42</v>
      </c>
      <c r="H461" t="s">
        <v>13</v>
      </c>
      <c r="I461" t="s">
        <v>14</v>
      </c>
      <c r="J461" t="s">
        <v>20</v>
      </c>
      <c r="K461">
        <v>11027</v>
      </c>
      <c r="L461">
        <v>15</v>
      </c>
      <c r="M461">
        <v>165405</v>
      </c>
      <c r="N461" t="s">
        <v>21</v>
      </c>
    </row>
    <row r="462" spans="5:14" x14ac:dyDescent="0.35">
      <c r="E462" t="s">
        <v>54</v>
      </c>
      <c r="F462" t="s">
        <v>43</v>
      </c>
      <c r="G462" t="s">
        <v>42</v>
      </c>
      <c r="H462" t="s">
        <v>22</v>
      </c>
      <c r="I462" t="s">
        <v>23</v>
      </c>
      <c r="J462" t="s">
        <v>24</v>
      </c>
      <c r="K462">
        <v>5439</v>
      </c>
      <c r="L462">
        <v>2</v>
      </c>
      <c r="M462">
        <v>10878</v>
      </c>
      <c r="N462" t="s">
        <v>21</v>
      </c>
    </row>
    <row r="463" spans="5:14" x14ac:dyDescent="0.35">
      <c r="E463" t="s">
        <v>54</v>
      </c>
      <c r="F463" t="s">
        <v>43</v>
      </c>
      <c r="G463" t="s">
        <v>42</v>
      </c>
      <c r="H463" t="s">
        <v>22</v>
      </c>
      <c r="I463" t="s">
        <v>23</v>
      </c>
      <c r="J463" t="s">
        <v>25</v>
      </c>
      <c r="K463">
        <v>7364</v>
      </c>
      <c r="L463">
        <v>2</v>
      </c>
      <c r="M463">
        <v>14728</v>
      </c>
      <c r="N463" t="s">
        <v>16</v>
      </c>
    </row>
    <row r="464" spans="5:14" x14ac:dyDescent="0.35">
      <c r="E464" t="s">
        <v>54</v>
      </c>
      <c r="F464" t="s">
        <v>43</v>
      </c>
      <c r="G464" t="s">
        <v>42</v>
      </c>
      <c r="H464" t="s">
        <v>22</v>
      </c>
      <c r="I464" t="s">
        <v>23</v>
      </c>
      <c r="J464" t="s">
        <v>26</v>
      </c>
      <c r="K464">
        <v>10313</v>
      </c>
      <c r="L464">
        <v>5</v>
      </c>
      <c r="M464">
        <v>51565</v>
      </c>
      <c r="N464" t="s">
        <v>21</v>
      </c>
    </row>
    <row r="465" spans="5:14" x14ac:dyDescent="0.35">
      <c r="E465" t="s">
        <v>54</v>
      </c>
      <c r="F465" t="s">
        <v>43</v>
      </c>
      <c r="G465" t="s">
        <v>42</v>
      </c>
      <c r="H465" t="s">
        <v>22</v>
      </c>
      <c r="I465" t="s">
        <v>27</v>
      </c>
      <c r="J465" t="s">
        <v>28</v>
      </c>
      <c r="K465">
        <v>10979</v>
      </c>
      <c r="L465">
        <v>3</v>
      </c>
      <c r="M465">
        <v>32937</v>
      </c>
      <c r="N465" t="s">
        <v>21</v>
      </c>
    </row>
    <row r="466" spans="5:14" x14ac:dyDescent="0.35">
      <c r="E466" t="s">
        <v>54</v>
      </c>
      <c r="F466" t="s">
        <v>44</v>
      </c>
      <c r="G466" t="s">
        <v>42</v>
      </c>
      <c r="H466" t="s">
        <v>13</v>
      </c>
      <c r="I466" t="s">
        <v>14</v>
      </c>
      <c r="J466" t="s">
        <v>15</v>
      </c>
      <c r="K466">
        <v>6209</v>
      </c>
      <c r="L466">
        <v>10</v>
      </c>
      <c r="M466">
        <v>62090</v>
      </c>
      <c r="N466" t="s">
        <v>16</v>
      </c>
    </row>
    <row r="467" spans="5:14" x14ac:dyDescent="0.35">
      <c r="E467" t="s">
        <v>54</v>
      </c>
      <c r="F467" t="s">
        <v>44</v>
      </c>
      <c r="G467" t="s">
        <v>42</v>
      </c>
      <c r="H467" t="s">
        <v>13</v>
      </c>
      <c r="I467" t="s">
        <v>14</v>
      </c>
      <c r="J467" t="s">
        <v>17</v>
      </c>
      <c r="K467">
        <v>5009</v>
      </c>
      <c r="L467">
        <v>20</v>
      </c>
      <c r="M467">
        <v>100180</v>
      </c>
      <c r="N467" t="s">
        <v>21</v>
      </c>
    </row>
    <row r="468" spans="5:14" x14ac:dyDescent="0.35">
      <c r="E468" t="s">
        <v>54</v>
      </c>
      <c r="F468" t="s">
        <v>44</v>
      </c>
      <c r="G468" t="s">
        <v>42</v>
      </c>
      <c r="H468" t="s">
        <v>13</v>
      </c>
      <c r="I468" t="s">
        <v>14</v>
      </c>
      <c r="J468" t="s">
        <v>19</v>
      </c>
      <c r="K468">
        <v>5966</v>
      </c>
      <c r="L468">
        <v>30</v>
      </c>
      <c r="M468">
        <v>178980</v>
      </c>
      <c r="N468" t="s">
        <v>18</v>
      </c>
    </row>
    <row r="469" spans="5:14" x14ac:dyDescent="0.35">
      <c r="E469" t="s">
        <v>54</v>
      </c>
      <c r="F469" t="s">
        <v>44</v>
      </c>
      <c r="G469" t="s">
        <v>42</v>
      </c>
      <c r="H469" t="s">
        <v>13</v>
      </c>
      <c r="I469" t="s">
        <v>14</v>
      </c>
      <c r="J469" t="s">
        <v>20</v>
      </c>
      <c r="K469">
        <v>14478</v>
      </c>
      <c r="L469">
        <v>15</v>
      </c>
      <c r="M469">
        <v>217170</v>
      </c>
      <c r="N469" t="s">
        <v>18</v>
      </c>
    </row>
    <row r="470" spans="5:14" x14ac:dyDescent="0.35">
      <c r="E470" t="s">
        <v>54</v>
      </c>
      <c r="F470" t="s">
        <v>44</v>
      </c>
      <c r="G470" t="s">
        <v>42</v>
      </c>
      <c r="H470" t="s">
        <v>22</v>
      </c>
      <c r="I470" t="s">
        <v>23</v>
      </c>
      <c r="J470" t="s">
        <v>24</v>
      </c>
      <c r="K470">
        <v>7467</v>
      </c>
      <c r="L470">
        <v>2</v>
      </c>
      <c r="M470">
        <v>14934</v>
      </c>
      <c r="N470" t="s">
        <v>21</v>
      </c>
    </row>
    <row r="471" spans="5:14" x14ac:dyDescent="0.35">
      <c r="E471" t="s">
        <v>54</v>
      </c>
      <c r="F471" t="s">
        <v>44</v>
      </c>
      <c r="G471" t="s">
        <v>42</v>
      </c>
      <c r="H471" t="s">
        <v>22</v>
      </c>
      <c r="I471" t="s">
        <v>23</v>
      </c>
      <c r="J471" t="s">
        <v>25</v>
      </c>
      <c r="K471">
        <v>9004</v>
      </c>
      <c r="L471">
        <v>2</v>
      </c>
      <c r="M471">
        <v>18008</v>
      </c>
      <c r="N471" t="s">
        <v>16</v>
      </c>
    </row>
    <row r="472" spans="5:14" x14ac:dyDescent="0.35">
      <c r="E472" t="s">
        <v>54</v>
      </c>
      <c r="F472" t="s">
        <v>44</v>
      </c>
      <c r="G472" t="s">
        <v>42</v>
      </c>
      <c r="H472" t="s">
        <v>22</v>
      </c>
      <c r="I472" t="s">
        <v>23</v>
      </c>
      <c r="J472" t="s">
        <v>26</v>
      </c>
      <c r="K472">
        <v>8384</v>
      </c>
      <c r="L472">
        <v>5</v>
      </c>
      <c r="M472">
        <v>41920</v>
      </c>
      <c r="N472" t="s">
        <v>18</v>
      </c>
    </row>
    <row r="473" spans="5:14" x14ac:dyDescent="0.35">
      <c r="E473" t="s">
        <v>54</v>
      </c>
      <c r="F473" t="s">
        <v>44</v>
      </c>
      <c r="G473" t="s">
        <v>42</v>
      </c>
      <c r="H473" t="s">
        <v>22</v>
      </c>
      <c r="I473" t="s">
        <v>27</v>
      </c>
      <c r="J473" t="s">
        <v>28</v>
      </c>
      <c r="K473">
        <v>9751</v>
      </c>
      <c r="L473">
        <v>3</v>
      </c>
      <c r="M473">
        <v>29253</v>
      </c>
      <c r="N473" t="s">
        <v>21</v>
      </c>
    </row>
    <row r="474" spans="5:14" x14ac:dyDescent="0.35">
      <c r="E474" t="s">
        <v>54</v>
      </c>
      <c r="F474" t="s">
        <v>45</v>
      </c>
      <c r="G474" t="s">
        <v>42</v>
      </c>
      <c r="H474" t="s">
        <v>13</v>
      </c>
      <c r="I474" t="s">
        <v>14</v>
      </c>
      <c r="J474" t="s">
        <v>15</v>
      </c>
      <c r="K474">
        <v>6538</v>
      </c>
      <c r="L474">
        <v>10</v>
      </c>
      <c r="M474">
        <v>65380</v>
      </c>
      <c r="N474" t="s">
        <v>18</v>
      </c>
    </row>
    <row r="475" spans="5:14" x14ac:dyDescent="0.35">
      <c r="E475" t="s">
        <v>54</v>
      </c>
      <c r="F475" t="s">
        <v>45</v>
      </c>
      <c r="G475" t="s">
        <v>42</v>
      </c>
      <c r="H475" t="s">
        <v>13</v>
      </c>
      <c r="I475" t="s">
        <v>14</v>
      </c>
      <c r="J475" t="s">
        <v>17</v>
      </c>
      <c r="K475">
        <v>5045</v>
      </c>
      <c r="L475">
        <v>20</v>
      </c>
      <c r="M475">
        <v>100900</v>
      </c>
      <c r="N475" t="s">
        <v>21</v>
      </c>
    </row>
    <row r="476" spans="5:14" x14ac:dyDescent="0.35">
      <c r="E476" t="s">
        <v>54</v>
      </c>
      <c r="F476" t="s">
        <v>45</v>
      </c>
      <c r="G476" t="s">
        <v>42</v>
      </c>
      <c r="H476" t="s">
        <v>13</v>
      </c>
      <c r="I476" t="s">
        <v>14</v>
      </c>
      <c r="J476" t="s">
        <v>19</v>
      </c>
      <c r="K476">
        <v>9244</v>
      </c>
      <c r="L476">
        <v>30</v>
      </c>
      <c r="M476">
        <v>277320</v>
      </c>
      <c r="N476" t="s">
        <v>16</v>
      </c>
    </row>
    <row r="477" spans="5:14" x14ac:dyDescent="0.35">
      <c r="E477" t="s">
        <v>54</v>
      </c>
      <c r="F477" t="s">
        <v>45</v>
      </c>
      <c r="G477" t="s">
        <v>42</v>
      </c>
      <c r="H477" t="s">
        <v>13</v>
      </c>
      <c r="I477" t="s">
        <v>14</v>
      </c>
      <c r="J477" t="s">
        <v>20</v>
      </c>
      <c r="K477">
        <v>9625</v>
      </c>
      <c r="L477">
        <v>15</v>
      </c>
      <c r="M477">
        <v>144375</v>
      </c>
      <c r="N477" t="s">
        <v>21</v>
      </c>
    </row>
    <row r="478" spans="5:14" x14ac:dyDescent="0.35">
      <c r="E478" t="s">
        <v>54</v>
      </c>
      <c r="F478" t="s">
        <v>45</v>
      </c>
      <c r="G478" t="s">
        <v>42</v>
      </c>
      <c r="H478" t="s">
        <v>22</v>
      </c>
      <c r="I478" t="s">
        <v>23</v>
      </c>
      <c r="J478" t="s">
        <v>24</v>
      </c>
      <c r="K478">
        <v>10721</v>
      </c>
      <c r="L478">
        <v>2</v>
      </c>
      <c r="M478">
        <v>21442</v>
      </c>
      <c r="N478" t="s">
        <v>18</v>
      </c>
    </row>
    <row r="479" spans="5:14" x14ac:dyDescent="0.35">
      <c r="E479" t="s">
        <v>54</v>
      </c>
      <c r="F479" t="s">
        <v>45</v>
      </c>
      <c r="G479" t="s">
        <v>42</v>
      </c>
      <c r="H479" t="s">
        <v>22</v>
      </c>
      <c r="I479" t="s">
        <v>23</v>
      </c>
      <c r="J479" t="s">
        <v>25</v>
      </c>
      <c r="K479">
        <v>14862</v>
      </c>
      <c r="L479">
        <v>2</v>
      </c>
      <c r="M479">
        <v>29724</v>
      </c>
      <c r="N479" t="s">
        <v>16</v>
      </c>
    </row>
    <row r="480" spans="5:14" x14ac:dyDescent="0.35">
      <c r="E480" t="s">
        <v>54</v>
      </c>
      <c r="F480" t="s">
        <v>45</v>
      </c>
      <c r="G480" t="s">
        <v>42</v>
      </c>
      <c r="H480" t="s">
        <v>22</v>
      </c>
      <c r="I480" t="s">
        <v>23</v>
      </c>
      <c r="J480" t="s">
        <v>26</v>
      </c>
      <c r="K480">
        <v>7003</v>
      </c>
      <c r="L480">
        <v>5</v>
      </c>
      <c r="M480">
        <v>35015</v>
      </c>
      <c r="N480" t="s">
        <v>16</v>
      </c>
    </row>
    <row r="481" spans="5:14" x14ac:dyDescent="0.35">
      <c r="E481" t="s">
        <v>54</v>
      </c>
      <c r="F481" t="s">
        <v>45</v>
      </c>
      <c r="G481" t="s">
        <v>42</v>
      </c>
      <c r="H481" t="s">
        <v>22</v>
      </c>
      <c r="I481" t="s">
        <v>27</v>
      </c>
      <c r="J481" t="s">
        <v>28</v>
      </c>
      <c r="K481">
        <v>7112</v>
      </c>
      <c r="L481">
        <v>3</v>
      </c>
      <c r="M481">
        <v>21336</v>
      </c>
      <c r="N481" t="s">
        <v>16</v>
      </c>
    </row>
    <row r="482" spans="5:14" x14ac:dyDescent="0.35">
      <c r="E482" t="s">
        <v>54</v>
      </c>
      <c r="F482" t="s">
        <v>46</v>
      </c>
      <c r="G482" t="s">
        <v>42</v>
      </c>
      <c r="H482" t="s">
        <v>13</v>
      </c>
      <c r="I482" t="s">
        <v>14</v>
      </c>
      <c r="J482" t="s">
        <v>15</v>
      </c>
      <c r="K482">
        <v>11030</v>
      </c>
      <c r="L482">
        <v>10</v>
      </c>
      <c r="M482">
        <v>110300</v>
      </c>
      <c r="N482" t="s">
        <v>18</v>
      </c>
    </row>
    <row r="483" spans="5:14" x14ac:dyDescent="0.35">
      <c r="E483" t="s">
        <v>54</v>
      </c>
      <c r="F483" t="s">
        <v>46</v>
      </c>
      <c r="G483" t="s">
        <v>42</v>
      </c>
      <c r="H483" t="s">
        <v>13</v>
      </c>
      <c r="I483" t="s">
        <v>14</v>
      </c>
      <c r="J483" t="s">
        <v>17</v>
      </c>
      <c r="K483">
        <v>6423</v>
      </c>
      <c r="L483">
        <v>20</v>
      </c>
      <c r="M483">
        <v>128460</v>
      </c>
      <c r="N483" t="s">
        <v>21</v>
      </c>
    </row>
    <row r="484" spans="5:14" x14ac:dyDescent="0.35">
      <c r="E484" t="s">
        <v>54</v>
      </c>
      <c r="F484" t="s">
        <v>46</v>
      </c>
      <c r="G484" t="s">
        <v>42</v>
      </c>
      <c r="H484" t="s">
        <v>13</v>
      </c>
      <c r="I484" t="s">
        <v>14</v>
      </c>
      <c r="J484" t="s">
        <v>19</v>
      </c>
      <c r="K484">
        <v>13744</v>
      </c>
      <c r="L484">
        <v>30</v>
      </c>
      <c r="M484">
        <v>412320</v>
      </c>
      <c r="N484" t="s">
        <v>21</v>
      </c>
    </row>
    <row r="485" spans="5:14" x14ac:dyDescent="0.35">
      <c r="E485" t="s">
        <v>54</v>
      </c>
      <c r="F485" t="s">
        <v>46</v>
      </c>
      <c r="G485" t="s">
        <v>42</v>
      </c>
      <c r="H485" t="s">
        <v>13</v>
      </c>
      <c r="I485" t="s">
        <v>14</v>
      </c>
      <c r="J485" t="s">
        <v>20</v>
      </c>
      <c r="K485">
        <v>5309</v>
      </c>
      <c r="L485">
        <v>15</v>
      </c>
      <c r="M485">
        <v>79635</v>
      </c>
      <c r="N485" t="s">
        <v>16</v>
      </c>
    </row>
    <row r="486" spans="5:14" x14ac:dyDescent="0.35">
      <c r="E486" t="s">
        <v>54</v>
      </c>
      <c r="F486" t="s">
        <v>46</v>
      </c>
      <c r="G486" t="s">
        <v>42</v>
      </c>
      <c r="H486" t="s">
        <v>22</v>
      </c>
      <c r="I486" t="s">
        <v>23</v>
      </c>
      <c r="J486" t="s">
        <v>24</v>
      </c>
      <c r="K486">
        <v>13879</v>
      </c>
      <c r="L486">
        <v>2</v>
      </c>
      <c r="M486">
        <v>27758</v>
      </c>
      <c r="N486" t="s">
        <v>18</v>
      </c>
    </row>
    <row r="487" spans="5:14" x14ac:dyDescent="0.35">
      <c r="E487" t="s">
        <v>54</v>
      </c>
      <c r="F487" t="s">
        <v>46</v>
      </c>
      <c r="G487" t="s">
        <v>42</v>
      </c>
      <c r="H487" t="s">
        <v>22</v>
      </c>
      <c r="I487" t="s">
        <v>23</v>
      </c>
      <c r="J487" t="s">
        <v>25</v>
      </c>
      <c r="K487">
        <v>6143</v>
      </c>
      <c r="L487">
        <v>2</v>
      </c>
      <c r="M487">
        <v>12286</v>
      </c>
      <c r="N487" t="s">
        <v>18</v>
      </c>
    </row>
    <row r="488" spans="5:14" x14ac:dyDescent="0.35">
      <c r="E488" t="s">
        <v>54</v>
      </c>
      <c r="F488" t="s">
        <v>46</v>
      </c>
      <c r="G488" t="s">
        <v>42</v>
      </c>
      <c r="H488" t="s">
        <v>22</v>
      </c>
      <c r="I488" t="s">
        <v>23</v>
      </c>
      <c r="J488" t="s">
        <v>26</v>
      </c>
      <c r="K488">
        <v>10215</v>
      </c>
      <c r="L488">
        <v>5</v>
      </c>
      <c r="M488">
        <v>51075</v>
      </c>
      <c r="N488" t="s">
        <v>16</v>
      </c>
    </row>
    <row r="489" spans="5:14" x14ac:dyDescent="0.35">
      <c r="E489" t="s">
        <v>54</v>
      </c>
      <c r="F489" t="s">
        <v>46</v>
      </c>
      <c r="G489" t="s">
        <v>42</v>
      </c>
      <c r="H489" t="s">
        <v>22</v>
      </c>
      <c r="I489" t="s">
        <v>27</v>
      </c>
      <c r="J489" t="s">
        <v>28</v>
      </c>
      <c r="K489">
        <v>10251</v>
      </c>
      <c r="L489">
        <v>3</v>
      </c>
      <c r="M489">
        <v>30753</v>
      </c>
      <c r="N489" t="s">
        <v>16</v>
      </c>
    </row>
    <row r="490" spans="5:14" x14ac:dyDescent="0.35">
      <c r="E490" t="s">
        <v>54</v>
      </c>
      <c r="F490" t="s">
        <v>47</v>
      </c>
      <c r="G490" t="s">
        <v>48</v>
      </c>
      <c r="H490" t="s">
        <v>13</v>
      </c>
      <c r="I490" t="s">
        <v>14</v>
      </c>
      <c r="J490" t="s">
        <v>15</v>
      </c>
      <c r="K490">
        <v>14555</v>
      </c>
      <c r="L490">
        <v>10</v>
      </c>
      <c r="M490">
        <v>145550</v>
      </c>
      <c r="N490" t="s">
        <v>18</v>
      </c>
    </row>
    <row r="491" spans="5:14" x14ac:dyDescent="0.35">
      <c r="E491" t="s">
        <v>54</v>
      </c>
      <c r="F491" t="s">
        <v>47</v>
      </c>
      <c r="G491" t="s">
        <v>48</v>
      </c>
      <c r="H491" t="s">
        <v>13</v>
      </c>
      <c r="I491" t="s">
        <v>14</v>
      </c>
      <c r="J491" t="s">
        <v>17</v>
      </c>
      <c r="K491">
        <v>7799</v>
      </c>
      <c r="L491">
        <v>20</v>
      </c>
      <c r="M491">
        <v>155980</v>
      </c>
      <c r="N491" t="s">
        <v>16</v>
      </c>
    </row>
    <row r="492" spans="5:14" x14ac:dyDescent="0.35">
      <c r="E492" t="s">
        <v>54</v>
      </c>
      <c r="F492" t="s">
        <v>47</v>
      </c>
      <c r="G492" t="s">
        <v>48</v>
      </c>
      <c r="H492" t="s">
        <v>13</v>
      </c>
      <c r="I492" t="s">
        <v>14</v>
      </c>
      <c r="J492" t="s">
        <v>19</v>
      </c>
      <c r="K492">
        <v>7038</v>
      </c>
      <c r="L492">
        <v>30</v>
      </c>
      <c r="M492">
        <v>211140</v>
      </c>
      <c r="N492" t="s">
        <v>18</v>
      </c>
    </row>
    <row r="493" spans="5:14" x14ac:dyDescent="0.35">
      <c r="E493" t="s">
        <v>54</v>
      </c>
      <c r="F493" t="s">
        <v>47</v>
      </c>
      <c r="G493" t="s">
        <v>48</v>
      </c>
      <c r="H493" t="s">
        <v>13</v>
      </c>
      <c r="I493" t="s">
        <v>14</v>
      </c>
      <c r="J493" t="s">
        <v>20</v>
      </c>
      <c r="K493">
        <v>9382</v>
      </c>
      <c r="L493">
        <v>15</v>
      </c>
      <c r="M493">
        <v>140730</v>
      </c>
      <c r="N493" t="s">
        <v>16</v>
      </c>
    </row>
    <row r="494" spans="5:14" x14ac:dyDescent="0.35">
      <c r="E494" t="s">
        <v>54</v>
      </c>
      <c r="F494" t="s">
        <v>47</v>
      </c>
      <c r="G494" t="s">
        <v>48</v>
      </c>
      <c r="H494" t="s">
        <v>22</v>
      </c>
      <c r="I494" t="s">
        <v>23</v>
      </c>
      <c r="J494" t="s">
        <v>24</v>
      </c>
      <c r="K494">
        <v>9980</v>
      </c>
      <c r="L494">
        <v>2</v>
      </c>
      <c r="M494">
        <v>19960</v>
      </c>
      <c r="N494" t="s">
        <v>16</v>
      </c>
    </row>
    <row r="495" spans="5:14" x14ac:dyDescent="0.35">
      <c r="E495" t="s">
        <v>54</v>
      </c>
      <c r="F495" t="s">
        <v>47</v>
      </c>
      <c r="G495" t="s">
        <v>48</v>
      </c>
      <c r="H495" t="s">
        <v>22</v>
      </c>
      <c r="I495" t="s">
        <v>23</v>
      </c>
      <c r="J495" t="s">
        <v>25</v>
      </c>
      <c r="K495">
        <v>13675</v>
      </c>
      <c r="L495">
        <v>2</v>
      </c>
      <c r="M495">
        <v>27350</v>
      </c>
      <c r="N495" t="s">
        <v>21</v>
      </c>
    </row>
    <row r="496" spans="5:14" x14ac:dyDescent="0.35">
      <c r="E496" t="s">
        <v>54</v>
      </c>
      <c r="F496" t="s">
        <v>47</v>
      </c>
      <c r="G496" t="s">
        <v>48</v>
      </c>
      <c r="H496" t="s">
        <v>22</v>
      </c>
      <c r="I496" t="s">
        <v>23</v>
      </c>
      <c r="J496" t="s">
        <v>26</v>
      </c>
      <c r="K496">
        <v>14567</v>
      </c>
      <c r="L496">
        <v>5</v>
      </c>
      <c r="M496">
        <v>72835</v>
      </c>
      <c r="N496" t="s">
        <v>21</v>
      </c>
    </row>
    <row r="497" spans="5:14" x14ac:dyDescent="0.35">
      <c r="E497" t="s">
        <v>54</v>
      </c>
      <c r="F497" t="s">
        <v>47</v>
      </c>
      <c r="G497" t="s">
        <v>48</v>
      </c>
      <c r="H497" t="s">
        <v>22</v>
      </c>
      <c r="I497" t="s">
        <v>27</v>
      </c>
      <c r="J497" t="s">
        <v>28</v>
      </c>
      <c r="K497">
        <v>12375</v>
      </c>
      <c r="L497">
        <v>3</v>
      </c>
      <c r="M497">
        <v>37125</v>
      </c>
      <c r="N497" t="s">
        <v>18</v>
      </c>
    </row>
    <row r="498" spans="5:14" x14ac:dyDescent="0.35">
      <c r="E498" t="s">
        <v>54</v>
      </c>
      <c r="F498" t="s">
        <v>49</v>
      </c>
      <c r="G498" t="s">
        <v>48</v>
      </c>
      <c r="H498" t="s">
        <v>13</v>
      </c>
      <c r="I498" t="s">
        <v>14</v>
      </c>
      <c r="J498" t="s">
        <v>15</v>
      </c>
      <c r="K498">
        <v>14076</v>
      </c>
      <c r="L498">
        <v>10</v>
      </c>
      <c r="M498">
        <v>140760</v>
      </c>
      <c r="N498" t="s">
        <v>16</v>
      </c>
    </row>
    <row r="499" spans="5:14" x14ac:dyDescent="0.35">
      <c r="E499" t="s">
        <v>54</v>
      </c>
      <c r="F499" t="s">
        <v>49</v>
      </c>
      <c r="G499" t="s">
        <v>48</v>
      </c>
      <c r="H499" t="s">
        <v>13</v>
      </c>
      <c r="I499" t="s">
        <v>14</v>
      </c>
      <c r="J499" t="s">
        <v>17</v>
      </c>
      <c r="K499">
        <v>8389</v>
      </c>
      <c r="L499">
        <v>20</v>
      </c>
      <c r="M499">
        <v>167780</v>
      </c>
      <c r="N499" t="s">
        <v>16</v>
      </c>
    </row>
    <row r="500" spans="5:14" x14ac:dyDescent="0.35">
      <c r="E500" t="s">
        <v>54</v>
      </c>
      <c r="F500" t="s">
        <v>49</v>
      </c>
      <c r="G500" t="s">
        <v>48</v>
      </c>
      <c r="H500" t="s">
        <v>13</v>
      </c>
      <c r="I500" t="s">
        <v>14</v>
      </c>
      <c r="J500" t="s">
        <v>19</v>
      </c>
      <c r="K500">
        <v>13853</v>
      </c>
      <c r="L500">
        <v>30</v>
      </c>
      <c r="M500">
        <v>415590</v>
      </c>
      <c r="N500" t="s">
        <v>21</v>
      </c>
    </row>
    <row r="501" spans="5:14" x14ac:dyDescent="0.35">
      <c r="E501" t="s">
        <v>54</v>
      </c>
      <c r="F501" t="s">
        <v>49</v>
      </c>
      <c r="G501" t="s">
        <v>48</v>
      </c>
      <c r="H501" t="s">
        <v>13</v>
      </c>
      <c r="I501" t="s">
        <v>14</v>
      </c>
      <c r="J501" t="s">
        <v>20</v>
      </c>
      <c r="K501">
        <v>13978</v>
      </c>
      <c r="L501">
        <v>15</v>
      </c>
      <c r="M501">
        <v>209670</v>
      </c>
      <c r="N501" t="s">
        <v>21</v>
      </c>
    </row>
    <row r="502" spans="5:14" x14ac:dyDescent="0.35">
      <c r="E502" t="s">
        <v>54</v>
      </c>
      <c r="F502" t="s">
        <v>49</v>
      </c>
      <c r="G502" t="s">
        <v>48</v>
      </c>
      <c r="H502" t="s">
        <v>22</v>
      </c>
      <c r="I502" t="s">
        <v>23</v>
      </c>
      <c r="J502" t="s">
        <v>24</v>
      </c>
      <c r="K502">
        <v>13955</v>
      </c>
      <c r="L502">
        <v>2</v>
      </c>
      <c r="M502">
        <v>27910</v>
      </c>
      <c r="N502" t="s">
        <v>16</v>
      </c>
    </row>
    <row r="503" spans="5:14" x14ac:dyDescent="0.35">
      <c r="E503" t="s">
        <v>54</v>
      </c>
      <c r="F503" t="s">
        <v>49</v>
      </c>
      <c r="G503" t="s">
        <v>48</v>
      </c>
      <c r="H503" t="s">
        <v>22</v>
      </c>
      <c r="I503" t="s">
        <v>23</v>
      </c>
      <c r="J503" t="s">
        <v>25</v>
      </c>
      <c r="K503">
        <v>12529</v>
      </c>
      <c r="L503">
        <v>2</v>
      </c>
      <c r="M503">
        <v>25058</v>
      </c>
      <c r="N503" t="s">
        <v>16</v>
      </c>
    </row>
    <row r="504" spans="5:14" x14ac:dyDescent="0.35">
      <c r="E504" t="s">
        <v>54</v>
      </c>
      <c r="F504" t="s">
        <v>49</v>
      </c>
      <c r="G504" t="s">
        <v>48</v>
      </c>
      <c r="H504" t="s">
        <v>22</v>
      </c>
      <c r="I504" t="s">
        <v>23</v>
      </c>
      <c r="J504" t="s">
        <v>26</v>
      </c>
      <c r="K504">
        <v>12191</v>
      </c>
      <c r="L504">
        <v>5</v>
      </c>
      <c r="M504">
        <v>60955</v>
      </c>
      <c r="N504" t="s">
        <v>16</v>
      </c>
    </row>
    <row r="505" spans="5:14" x14ac:dyDescent="0.35">
      <c r="E505" t="s">
        <v>54</v>
      </c>
      <c r="F505" t="s">
        <v>49</v>
      </c>
      <c r="G505" t="s">
        <v>48</v>
      </c>
      <c r="H505" t="s">
        <v>22</v>
      </c>
      <c r="I505" t="s">
        <v>27</v>
      </c>
      <c r="J505" t="s">
        <v>28</v>
      </c>
      <c r="K505">
        <v>7703</v>
      </c>
      <c r="L505">
        <v>3</v>
      </c>
      <c r="M505">
        <v>23109</v>
      </c>
      <c r="N505" t="s">
        <v>21</v>
      </c>
    </row>
    <row r="506" spans="5:14" x14ac:dyDescent="0.35">
      <c r="E506" t="s">
        <v>54</v>
      </c>
      <c r="F506" t="s">
        <v>50</v>
      </c>
      <c r="G506" t="s">
        <v>48</v>
      </c>
      <c r="H506" t="s">
        <v>13</v>
      </c>
      <c r="I506" t="s">
        <v>14</v>
      </c>
      <c r="J506" t="s">
        <v>15</v>
      </c>
      <c r="K506">
        <v>10922</v>
      </c>
      <c r="L506">
        <v>10</v>
      </c>
      <c r="M506">
        <v>109220</v>
      </c>
      <c r="N506" t="s">
        <v>16</v>
      </c>
    </row>
    <row r="507" spans="5:14" x14ac:dyDescent="0.35">
      <c r="E507" t="s">
        <v>54</v>
      </c>
      <c r="F507" t="s">
        <v>50</v>
      </c>
      <c r="G507" t="s">
        <v>48</v>
      </c>
      <c r="H507" t="s">
        <v>13</v>
      </c>
      <c r="I507" t="s">
        <v>14</v>
      </c>
      <c r="J507" t="s">
        <v>17</v>
      </c>
      <c r="K507">
        <v>7283</v>
      </c>
      <c r="L507">
        <v>20</v>
      </c>
      <c r="M507">
        <v>145660</v>
      </c>
      <c r="N507" t="s">
        <v>21</v>
      </c>
    </row>
    <row r="508" spans="5:14" x14ac:dyDescent="0.35">
      <c r="E508" t="s">
        <v>54</v>
      </c>
      <c r="F508" t="s">
        <v>50</v>
      </c>
      <c r="G508" t="s">
        <v>48</v>
      </c>
      <c r="H508" t="s">
        <v>13</v>
      </c>
      <c r="I508" t="s">
        <v>14</v>
      </c>
      <c r="J508" t="s">
        <v>19</v>
      </c>
      <c r="K508">
        <v>6741</v>
      </c>
      <c r="L508">
        <v>30</v>
      </c>
      <c r="M508">
        <v>202230</v>
      </c>
      <c r="N508" t="s">
        <v>21</v>
      </c>
    </row>
    <row r="509" spans="5:14" x14ac:dyDescent="0.35">
      <c r="E509" t="s">
        <v>54</v>
      </c>
      <c r="F509" t="s">
        <v>50</v>
      </c>
      <c r="G509" t="s">
        <v>48</v>
      </c>
      <c r="H509" t="s">
        <v>13</v>
      </c>
      <c r="I509" t="s">
        <v>14</v>
      </c>
      <c r="J509" t="s">
        <v>20</v>
      </c>
      <c r="K509">
        <v>14985</v>
      </c>
      <c r="L509">
        <v>15</v>
      </c>
      <c r="M509">
        <v>224775</v>
      </c>
      <c r="N509" t="s">
        <v>21</v>
      </c>
    </row>
    <row r="510" spans="5:14" x14ac:dyDescent="0.35">
      <c r="E510" t="s">
        <v>54</v>
      </c>
      <c r="F510" t="s">
        <v>50</v>
      </c>
      <c r="G510" t="s">
        <v>48</v>
      </c>
      <c r="H510" t="s">
        <v>22</v>
      </c>
      <c r="I510" t="s">
        <v>23</v>
      </c>
      <c r="J510" t="s">
        <v>24</v>
      </c>
      <c r="K510">
        <v>11207</v>
      </c>
      <c r="L510">
        <v>2</v>
      </c>
      <c r="M510">
        <v>22414</v>
      </c>
      <c r="N510" t="s">
        <v>18</v>
      </c>
    </row>
    <row r="511" spans="5:14" x14ac:dyDescent="0.35">
      <c r="E511" t="s">
        <v>54</v>
      </c>
      <c r="F511" t="s">
        <v>50</v>
      </c>
      <c r="G511" t="s">
        <v>48</v>
      </c>
      <c r="H511" t="s">
        <v>22</v>
      </c>
      <c r="I511" t="s">
        <v>23</v>
      </c>
      <c r="J511" t="s">
        <v>25</v>
      </c>
      <c r="K511">
        <v>6310</v>
      </c>
      <c r="L511">
        <v>2</v>
      </c>
      <c r="M511">
        <v>12620</v>
      </c>
      <c r="N511" t="s">
        <v>18</v>
      </c>
    </row>
    <row r="512" spans="5:14" x14ac:dyDescent="0.35">
      <c r="E512" t="s">
        <v>54</v>
      </c>
      <c r="F512" t="s">
        <v>50</v>
      </c>
      <c r="G512" t="s">
        <v>48</v>
      </c>
      <c r="H512" t="s">
        <v>22</v>
      </c>
      <c r="I512" t="s">
        <v>23</v>
      </c>
      <c r="J512" t="s">
        <v>26</v>
      </c>
      <c r="K512">
        <v>10802</v>
      </c>
      <c r="L512">
        <v>5</v>
      </c>
      <c r="M512">
        <v>54010</v>
      </c>
      <c r="N512" t="s">
        <v>21</v>
      </c>
    </row>
    <row r="513" spans="5:14" x14ac:dyDescent="0.35">
      <c r="E513" t="s">
        <v>54</v>
      </c>
      <c r="F513" t="s">
        <v>50</v>
      </c>
      <c r="G513" t="s">
        <v>48</v>
      </c>
      <c r="H513" t="s">
        <v>22</v>
      </c>
      <c r="I513" t="s">
        <v>27</v>
      </c>
      <c r="J513" t="s">
        <v>28</v>
      </c>
      <c r="K513">
        <v>10645</v>
      </c>
      <c r="L513">
        <v>3</v>
      </c>
      <c r="M513">
        <v>31935</v>
      </c>
      <c r="N513" t="s">
        <v>21</v>
      </c>
    </row>
    <row r="514" spans="5:14" x14ac:dyDescent="0.35">
      <c r="E514" t="s">
        <v>54</v>
      </c>
      <c r="F514" t="s">
        <v>51</v>
      </c>
      <c r="G514" t="s">
        <v>48</v>
      </c>
      <c r="H514" t="s">
        <v>13</v>
      </c>
      <c r="I514" t="s">
        <v>14</v>
      </c>
      <c r="J514" t="s">
        <v>15</v>
      </c>
      <c r="K514">
        <v>12967</v>
      </c>
      <c r="L514">
        <v>10</v>
      </c>
      <c r="M514">
        <v>129670</v>
      </c>
      <c r="N514" t="s">
        <v>21</v>
      </c>
    </row>
    <row r="515" spans="5:14" x14ac:dyDescent="0.35">
      <c r="E515" t="s">
        <v>54</v>
      </c>
      <c r="F515" t="s">
        <v>51</v>
      </c>
      <c r="G515" t="s">
        <v>48</v>
      </c>
      <c r="H515" t="s">
        <v>13</v>
      </c>
      <c r="I515" t="s">
        <v>14</v>
      </c>
      <c r="J515" t="s">
        <v>17</v>
      </c>
      <c r="K515">
        <v>12260</v>
      </c>
      <c r="L515">
        <v>20</v>
      </c>
      <c r="M515">
        <v>245200</v>
      </c>
      <c r="N515" t="s">
        <v>16</v>
      </c>
    </row>
    <row r="516" spans="5:14" x14ac:dyDescent="0.35">
      <c r="E516" t="s">
        <v>54</v>
      </c>
      <c r="F516" t="s">
        <v>51</v>
      </c>
      <c r="G516" t="s">
        <v>48</v>
      </c>
      <c r="H516" t="s">
        <v>13</v>
      </c>
      <c r="I516" t="s">
        <v>14</v>
      </c>
      <c r="J516" t="s">
        <v>19</v>
      </c>
      <c r="K516">
        <v>13172</v>
      </c>
      <c r="L516">
        <v>30</v>
      </c>
      <c r="M516">
        <v>395160</v>
      </c>
      <c r="N516" t="s">
        <v>18</v>
      </c>
    </row>
    <row r="517" spans="5:14" x14ac:dyDescent="0.35">
      <c r="E517" t="s">
        <v>54</v>
      </c>
      <c r="F517" t="s">
        <v>51</v>
      </c>
      <c r="G517" t="s">
        <v>48</v>
      </c>
      <c r="H517" t="s">
        <v>13</v>
      </c>
      <c r="I517" t="s">
        <v>14</v>
      </c>
      <c r="J517" t="s">
        <v>20</v>
      </c>
      <c r="K517">
        <v>10655</v>
      </c>
      <c r="L517">
        <v>15</v>
      </c>
      <c r="M517">
        <v>159825</v>
      </c>
      <c r="N517" t="s">
        <v>21</v>
      </c>
    </row>
    <row r="518" spans="5:14" x14ac:dyDescent="0.35">
      <c r="E518" t="s">
        <v>54</v>
      </c>
      <c r="F518" t="s">
        <v>51</v>
      </c>
      <c r="G518" t="s">
        <v>48</v>
      </c>
      <c r="H518" t="s">
        <v>22</v>
      </c>
      <c r="I518" t="s">
        <v>23</v>
      </c>
      <c r="J518" t="s">
        <v>24</v>
      </c>
      <c r="K518">
        <v>10220</v>
      </c>
      <c r="L518">
        <v>2</v>
      </c>
      <c r="M518">
        <v>20440</v>
      </c>
      <c r="N518" t="s">
        <v>18</v>
      </c>
    </row>
    <row r="519" spans="5:14" x14ac:dyDescent="0.35">
      <c r="E519" t="s">
        <v>54</v>
      </c>
      <c r="F519" t="s">
        <v>51</v>
      </c>
      <c r="G519" t="s">
        <v>48</v>
      </c>
      <c r="H519" t="s">
        <v>22</v>
      </c>
      <c r="I519" t="s">
        <v>23</v>
      </c>
      <c r="J519" t="s">
        <v>25</v>
      </c>
      <c r="K519">
        <v>14446</v>
      </c>
      <c r="L519">
        <v>2</v>
      </c>
      <c r="M519">
        <v>28892</v>
      </c>
      <c r="N519" t="s">
        <v>18</v>
      </c>
    </row>
    <row r="520" spans="5:14" x14ac:dyDescent="0.35">
      <c r="E520" t="s">
        <v>54</v>
      </c>
      <c r="F520" t="s">
        <v>51</v>
      </c>
      <c r="G520" t="s">
        <v>48</v>
      </c>
      <c r="H520" t="s">
        <v>22</v>
      </c>
      <c r="I520" t="s">
        <v>23</v>
      </c>
      <c r="J520" t="s">
        <v>26</v>
      </c>
      <c r="K520">
        <v>6166</v>
      </c>
      <c r="L520">
        <v>5</v>
      </c>
      <c r="M520">
        <v>30830</v>
      </c>
      <c r="N520" t="s">
        <v>18</v>
      </c>
    </row>
    <row r="521" spans="5:14" x14ac:dyDescent="0.35">
      <c r="E521" t="s">
        <v>54</v>
      </c>
      <c r="F521" t="s">
        <v>51</v>
      </c>
      <c r="G521" t="s">
        <v>48</v>
      </c>
      <c r="H521" t="s">
        <v>22</v>
      </c>
      <c r="I521" t="s">
        <v>27</v>
      </c>
      <c r="J521" t="s">
        <v>28</v>
      </c>
      <c r="K521">
        <v>9959</v>
      </c>
      <c r="L521">
        <v>3</v>
      </c>
      <c r="M521">
        <v>29877</v>
      </c>
      <c r="N521" t="s">
        <v>18</v>
      </c>
    </row>
    <row r="522" spans="5:14" x14ac:dyDescent="0.35">
      <c r="E522" t="s">
        <v>54</v>
      </c>
      <c r="F522" t="s">
        <v>52</v>
      </c>
      <c r="G522" t="s">
        <v>48</v>
      </c>
      <c r="H522" t="s">
        <v>13</v>
      </c>
      <c r="I522" t="s">
        <v>14</v>
      </c>
      <c r="J522" t="s">
        <v>15</v>
      </c>
      <c r="K522">
        <v>10579</v>
      </c>
      <c r="L522">
        <v>10</v>
      </c>
      <c r="M522">
        <v>105790</v>
      </c>
      <c r="N522" t="s">
        <v>18</v>
      </c>
    </row>
    <row r="523" spans="5:14" x14ac:dyDescent="0.35">
      <c r="E523" t="s">
        <v>54</v>
      </c>
      <c r="F523" t="s">
        <v>52</v>
      </c>
      <c r="G523" t="s">
        <v>48</v>
      </c>
      <c r="H523" t="s">
        <v>13</v>
      </c>
      <c r="I523" t="s">
        <v>14</v>
      </c>
      <c r="J523" t="s">
        <v>17</v>
      </c>
      <c r="K523">
        <v>13241</v>
      </c>
      <c r="L523">
        <v>20</v>
      </c>
      <c r="M523">
        <v>264820</v>
      </c>
      <c r="N523" t="s">
        <v>16</v>
      </c>
    </row>
    <row r="524" spans="5:14" x14ac:dyDescent="0.35">
      <c r="E524" t="s">
        <v>54</v>
      </c>
      <c r="F524" t="s">
        <v>52</v>
      </c>
      <c r="G524" t="s">
        <v>48</v>
      </c>
      <c r="H524" t="s">
        <v>13</v>
      </c>
      <c r="I524" t="s">
        <v>14</v>
      </c>
      <c r="J524" t="s">
        <v>19</v>
      </c>
      <c r="K524">
        <v>13946</v>
      </c>
      <c r="L524">
        <v>30</v>
      </c>
      <c r="M524">
        <v>418380</v>
      </c>
      <c r="N524" t="s">
        <v>18</v>
      </c>
    </row>
    <row r="525" spans="5:14" x14ac:dyDescent="0.35">
      <c r="E525" t="s">
        <v>54</v>
      </c>
      <c r="F525" t="s">
        <v>52</v>
      </c>
      <c r="G525" t="s">
        <v>48</v>
      </c>
      <c r="H525" t="s">
        <v>13</v>
      </c>
      <c r="I525" t="s">
        <v>14</v>
      </c>
      <c r="J525" t="s">
        <v>20</v>
      </c>
      <c r="K525">
        <v>13075</v>
      </c>
      <c r="L525">
        <v>15</v>
      </c>
      <c r="M525">
        <v>196125</v>
      </c>
      <c r="N525" t="s">
        <v>18</v>
      </c>
    </row>
    <row r="526" spans="5:14" x14ac:dyDescent="0.35">
      <c r="E526" t="s">
        <v>54</v>
      </c>
      <c r="F526" t="s">
        <v>52</v>
      </c>
      <c r="G526" t="s">
        <v>48</v>
      </c>
      <c r="H526" t="s">
        <v>22</v>
      </c>
      <c r="I526" t="s">
        <v>23</v>
      </c>
      <c r="J526" t="s">
        <v>24</v>
      </c>
      <c r="K526">
        <v>8118</v>
      </c>
      <c r="L526">
        <v>2</v>
      </c>
      <c r="M526">
        <v>16236</v>
      </c>
      <c r="N526" t="s">
        <v>16</v>
      </c>
    </row>
    <row r="527" spans="5:14" x14ac:dyDescent="0.35">
      <c r="E527" t="s">
        <v>54</v>
      </c>
      <c r="F527" t="s">
        <v>52</v>
      </c>
      <c r="G527" t="s">
        <v>48</v>
      </c>
      <c r="H527" t="s">
        <v>22</v>
      </c>
      <c r="I527" t="s">
        <v>23</v>
      </c>
      <c r="J527" t="s">
        <v>25</v>
      </c>
      <c r="K527">
        <v>12614</v>
      </c>
      <c r="L527">
        <v>2</v>
      </c>
      <c r="M527">
        <v>25228</v>
      </c>
      <c r="N527" t="s">
        <v>18</v>
      </c>
    </row>
    <row r="528" spans="5:14" x14ac:dyDescent="0.35">
      <c r="E528" t="s">
        <v>54</v>
      </c>
      <c r="F528" t="s">
        <v>52</v>
      </c>
      <c r="G528" t="s">
        <v>48</v>
      </c>
      <c r="H528" t="s">
        <v>22</v>
      </c>
      <c r="I528" t="s">
        <v>23</v>
      </c>
      <c r="J528" t="s">
        <v>26</v>
      </c>
      <c r="K528">
        <v>11613</v>
      </c>
      <c r="L528">
        <v>5</v>
      </c>
      <c r="M528">
        <v>58065</v>
      </c>
      <c r="N528" t="s">
        <v>21</v>
      </c>
    </row>
    <row r="529" spans="5:14" x14ac:dyDescent="0.35">
      <c r="E529" t="s">
        <v>54</v>
      </c>
      <c r="F529" t="s">
        <v>52</v>
      </c>
      <c r="G529" t="s">
        <v>48</v>
      </c>
      <c r="H529" t="s">
        <v>22</v>
      </c>
      <c r="I529" t="s">
        <v>27</v>
      </c>
      <c r="J529" t="s">
        <v>28</v>
      </c>
      <c r="K529">
        <v>10546</v>
      </c>
      <c r="L529">
        <v>3</v>
      </c>
      <c r="M529">
        <v>31638</v>
      </c>
      <c r="N529" t="s">
        <v>18</v>
      </c>
    </row>
    <row r="530" spans="5:14" x14ac:dyDescent="0.35">
      <c r="E530" t="s">
        <v>55</v>
      </c>
      <c r="F530" t="s">
        <v>11</v>
      </c>
      <c r="G530" t="s">
        <v>12</v>
      </c>
      <c r="H530" t="s">
        <v>13</v>
      </c>
      <c r="I530" t="s">
        <v>14</v>
      </c>
      <c r="J530" t="s">
        <v>15</v>
      </c>
      <c r="K530">
        <v>8582</v>
      </c>
      <c r="L530">
        <v>10</v>
      </c>
      <c r="M530">
        <v>85820</v>
      </c>
      <c r="N530" t="s">
        <v>16</v>
      </c>
    </row>
    <row r="531" spans="5:14" x14ac:dyDescent="0.35">
      <c r="E531" t="s">
        <v>55</v>
      </c>
      <c r="F531" t="s">
        <v>11</v>
      </c>
      <c r="G531" t="s">
        <v>12</v>
      </c>
      <c r="H531" t="s">
        <v>13</v>
      </c>
      <c r="I531" t="s">
        <v>14</v>
      </c>
      <c r="J531" t="s">
        <v>17</v>
      </c>
      <c r="K531">
        <v>7337</v>
      </c>
      <c r="L531">
        <v>20</v>
      </c>
      <c r="M531">
        <v>146740</v>
      </c>
      <c r="N531" t="s">
        <v>16</v>
      </c>
    </row>
    <row r="532" spans="5:14" x14ac:dyDescent="0.35">
      <c r="E532" t="s">
        <v>55</v>
      </c>
      <c r="F532" t="s">
        <v>11</v>
      </c>
      <c r="G532" t="s">
        <v>12</v>
      </c>
      <c r="H532" t="s">
        <v>13</v>
      </c>
      <c r="I532" t="s">
        <v>14</v>
      </c>
      <c r="J532" t="s">
        <v>19</v>
      </c>
      <c r="K532">
        <v>11987</v>
      </c>
      <c r="L532">
        <v>30</v>
      </c>
      <c r="M532">
        <v>359610</v>
      </c>
      <c r="N532" t="s">
        <v>16</v>
      </c>
    </row>
    <row r="533" spans="5:14" x14ac:dyDescent="0.35">
      <c r="E533" t="s">
        <v>55</v>
      </c>
      <c r="F533" t="s">
        <v>11</v>
      </c>
      <c r="G533" t="s">
        <v>12</v>
      </c>
      <c r="H533" t="s">
        <v>13</v>
      </c>
      <c r="I533" t="s">
        <v>14</v>
      </c>
      <c r="J533" t="s">
        <v>20</v>
      </c>
      <c r="K533">
        <v>13109</v>
      </c>
      <c r="L533">
        <v>15</v>
      </c>
      <c r="M533">
        <v>196635</v>
      </c>
      <c r="N533" t="s">
        <v>21</v>
      </c>
    </row>
    <row r="534" spans="5:14" x14ac:dyDescent="0.35">
      <c r="E534" t="s">
        <v>55</v>
      </c>
      <c r="F534" t="s">
        <v>11</v>
      </c>
      <c r="G534" t="s">
        <v>12</v>
      </c>
      <c r="H534" t="s">
        <v>22</v>
      </c>
      <c r="I534" t="s">
        <v>23</v>
      </c>
      <c r="J534" t="s">
        <v>24</v>
      </c>
      <c r="K534">
        <v>7509</v>
      </c>
      <c r="L534">
        <v>2</v>
      </c>
      <c r="M534">
        <v>15018</v>
      </c>
      <c r="N534" t="s">
        <v>16</v>
      </c>
    </row>
    <row r="535" spans="5:14" x14ac:dyDescent="0.35">
      <c r="E535" t="s">
        <v>55</v>
      </c>
      <c r="F535" t="s">
        <v>11</v>
      </c>
      <c r="G535" t="s">
        <v>12</v>
      </c>
      <c r="H535" t="s">
        <v>22</v>
      </c>
      <c r="I535" t="s">
        <v>23</v>
      </c>
      <c r="J535" t="s">
        <v>25</v>
      </c>
      <c r="K535">
        <v>11439</v>
      </c>
      <c r="L535">
        <v>2</v>
      </c>
      <c r="M535">
        <v>22878</v>
      </c>
      <c r="N535" t="s">
        <v>18</v>
      </c>
    </row>
    <row r="536" spans="5:14" x14ac:dyDescent="0.35">
      <c r="E536" t="s">
        <v>55</v>
      </c>
      <c r="F536" t="s">
        <v>11</v>
      </c>
      <c r="G536" t="s">
        <v>12</v>
      </c>
      <c r="H536" t="s">
        <v>22</v>
      </c>
      <c r="I536" t="s">
        <v>23</v>
      </c>
      <c r="J536" t="s">
        <v>26</v>
      </c>
      <c r="K536">
        <v>5247</v>
      </c>
      <c r="L536">
        <v>5</v>
      </c>
      <c r="M536">
        <v>26235</v>
      </c>
      <c r="N536" t="s">
        <v>18</v>
      </c>
    </row>
    <row r="537" spans="5:14" x14ac:dyDescent="0.35">
      <c r="E537" t="s">
        <v>55</v>
      </c>
      <c r="F537" t="s">
        <v>11</v>
      </c>
      <c r="G537" t="s">
        <v>12</v>
      </c>
      <c r="H537" t="s">
        <v>22</v>
      </c>
      <c r="I537" t="s">
        <v>27</v>
      </c>
      <c r="J537" t="s">
        <v>28</v>
      </c>
      <c r="K537">
        <v>9708</v>
      </c>
      <c r="L537">
        <v>3</v>
      </c>
      <c r="M537">
        <v>29124</v>
      </c>
      <c r="N537" t="s">
        <v>16</v>
      </c>
    </row>
    <row r="538" spans="5:14" x14ac:dyDescent="0.35">
      <c r="E538" t="s">
        <v>55</v>
      </c>
      <c r="F538" t="s">
        <v>29</v>
      </c>
      <c r="G538" t="s">
        <v>12</v>
      </c>
      <c r="H538" t="s">
        <v>13</v>
      </c>
      <c r="I538" t="s">
        <v>14</v>
      </c>
      <c r="J538" t="s">
        <v>15</v>
      </c>
      <c r="K538">
        <v>7314</v>
      </c>
      <c r="L538">
        <v>10</v>
      </c>
      <c r="M538">
        <v>73140</v>
      </c>
      <c r="N538" t="s">
        <v>21</v>
      </c>
    </row>
    <row r="539" spans="5:14" x14ac:dyDescent="0.35">
      <c r="E539" t="s">
        <v>55</v>
      </c>
      <c r="F539" t="s">
        <v>29</v>
      </c>
      <c r="G539" t="s">
        <v>12</v>
      </c>
      <c r="H539" t="s">
        <v>13</v>
      </c>
      <c r="I539" t="s">
        <v>14</v>
      </c>
      <c r="J539" t="s">
        <v>17</v>
      </c>
      <c r="K539">
        <v>13578</v>
      </c>
      <c r="L539">
        <v>20</v>
      </c>
      <c r="M539">
        <v>271560</v>
      </c>
      <c r="N539" t="s">
        <v>21</v>
      </c>
    </row>
    <row r="540" spans="5:14" x14ac:dyDescent="0.35">
      <c r="E540" t="s">
        <v>55</v>
      </c>
      <c r="F540" t="s">
        <v>29</v>
      </c>
      <c r="G540" t="s">
        <v>12</v>
      </c>
      <c r="H540" t="s">
        <v>13</v>
      </c>
      <c r="I540" t="s">
        <v>14</v>
      </c>
      <c r="J540" t="s">
        <v>19</v>
      </c>
      <c r="K540">
        <v>10433</v>
      </c>
      <c r="L540">
        <v>30</v>
      </c>
      <c r="M540">
        <v>312990</v>
      </c>
      <c r="N540" t="s">
        <v>21</v>
      </c>
    </row>
    <row r="541" spans="5:14" x14ac:dyDescent="0.35">
      <c r="E541" t="s">
        <v>55</v>
      </c>
      <c r="F541" t="s">
        <v>29</v>
      </c>
      <c r="G541" t="s">
        <v>12</v>
      </c>
      <c r="H541" t="s">
        <v>13</v>
      </c>
      <c r="I541" t="s">
        <v>14</v>
      </c>
      <c r="J541" t="s">
        <v>20</v>
      </c>
      <c r="K541">
        <v>10674</v>
      </c>
      <c r="L541">
        <v>15</v>
      </c>
      <c r="M541">
        <v>160110</v>
      </c>
      <c r="N541" t="s">
        <v>18</v>
      </c>
    </row>
    <row r="542" spans="5:14" x14ac:dyDescent="0.35">
      <c r="E542" t="s">
        <v>55</v>
      </c>
      <c r="F542" t="s">
        <v>29</v>
      </c>
      <c r="G542" t="s">
        <v>12</v>
      </c>
      <c r="H542" t="s">
        <v>22</v>
      </c>
      <c r="I542" t="s">
        <v>23</v>
      </c>
      <c r="J542" t="s">
        <v>24</v>
      </c>
      <c r="K542">
        <v>11803</v>
      </c>
      <c r="L542">
        <v>2</v>
      </c>
      <c r="M542">
        <v>23606</v>
      </c>
      <c r="N542" t="s">
        <v>16</v>
      </c>
    </row>
    <row r="543" spans="5:14" x14ac:dyDescent="0.35">
      <c r="E543" t="s">
        <v>55</v>
      </c>
      <c r="F543" t="s">
        <v>29</v>
      </c>
      <c r="G543" t="s">
        <v>12</v>
      </c>
      <c r="H543" t="s">
        <v>22</v>
      </c>
      <c r="I543" t="s">
        <v>23</v>
      </c>
      <c r="J543" t="s">
        <v>25</v>
      </c>
      <c r="K543">
        <v>5368</v>
      </c>
      <c r="L543">
        <v>2</v>
      </c>
      <c r="M543">
        <v>10736</v>
      </c>
      <c r="N543" t="s">
        <v>18</v>
      </c>
    </row>
    <row r="544" spans="5:14" x14ac:dyDescent="0.35">
      <c r="E544" t="s">
        <v>55</v>
      </c>
      <c r="F544" t="s">
        <v>29</v>
      </c>
      <c r="G544" t="s">
        <v>12</v>
      </c>
      <c r="H544" t="s">
        <v>22</v>
      </c>
      <c r="I544" t="s">
        <v>23</v>
      </c>
      <c r="J544" t="s">
        <v>26</v>
      </c>
      <c r="K544">
        <v>12855</v>
      </c>
      <c r="L544">
        <v>5</v>
      </c>
      <c r="M544">
        <v>64275</v>
      </c>
      <c r="N544" t="s">
        <v>18</v>
      </c>
    </row>
    <row r="545" spans="5:14" x14ac:dyDescent="0.35">
      <c r="E545" t="s">
        <v>55</v>
      </c>
      <c r="F545" t="s">
        <v>29</v>
      </c>
      <c r="G545" t="s">
        <v>12</v>
      </c>
      <c r="H545" t="s">
        <v>22</v>
      </c>
      <c r="I545" t="s">
        <v>27</v>
      </c>
      <c r="J545" t="s">
        <v>28</v>
      </c>
      <c r="K545">
        <v>11842</v>
      </c>
      <c r="L545">
        <v>3</v>
      </c>
      <c r="M545">
        <v>35526</v>
      </c>
      <c r="N545" t="s">
        <v>16</v>
      </c>
    </row>
    <row r="546" spans="5:14" x14ac:dyDescent="0.35">
      <c r="E546" t="s">
        <v>55</v>
      </c>
      <c r="F546" t="s">
        <v>30</v>
      </c>
      <c r="G546" t="s">
        <v>12</v>
      </c>
      <c r="H546" t="s">
        <v>13</v>
      </c>
      <c r="I546" t="s">
        <v>14</v>
      </c>
      <c r="J546" t="s">
        <v>15</v>
      </c>
      <c r="K546">
        <v>6412</v>
      </c>
      <c r="L546">
        <v>10</v>
      </c>
      <c r="M546">
        <v>64120</v>
      </c>
      <c r="N546" t="s">
        <v>21</v>
      </c>
    </row>
    <row r="547" spans="5:14" x14ac:dyDescent="0.35">
      <c r="E547" t="s">
        <v>55</v>
      </c>
      <c r="F547" t="s">
        <v>30</v>
      </c>
      <c r="G547" t="s">
        <v>12</v>
      </c>
      <c r="H547" t="s">
        <v>13</v>
      </c>
      <c r="I547" t="s">
        <v>14</v>
      </c>
      <c r="J547" t="s">
        <v>17</v>
      </c>
      <c r="K547">
        <v>14987</v>
      </c>
      <c r="L547">
        <v>20</v>
      </c>
      <c r="M547">
        <v>299740</v>
      </c>
      <c r="N547" t="s">
        <v>16</v>
      </c>
    </row>
    <row r="548" spans="5:14" x14ac:dyDescent="0.35">
      <c r="E548" t="s">
        <v>55</v>
      </c>
      <c r="F548" t="s">
        <v>30</v>
      </c>
      <c r="G548" t="s">
        <v>12</v>
      </c>
      <c r="H548" t="s">
        <v>13</v>
      </c>
      <c r="I548" t="s">
        <v>14</v>
      </c>
      <c r="J548" t="s">
        <v>19</v>
      </c>
      <c r="K548">
        <v>11268</v>
      </c>
      <c r="L548">
        <v>30</v>
      </c>
      <c r="M548">
        <v>338040</v>
      </c>
      <c r="N548" t="s">
        <v>16</v>
      </c>
    </row>
    <row r="549" spans="5:14" x14ac:dyDescent="0.35">
      <c r="E549" t="s">
        <v>55</v>
      </c>
      <c r="F549" t="s">
        <v>30</v>
      </c>
      <c r="G549" t="s">
        <v>12</v>
      </c>
      <c r="H549" t="s">
        <v>13</v>
      </c>
      <c r="I549" t="s">
        <v>14</v>
      </c>
      <c r="J549" t="s">
        <v>20</v>
      </c>
      <c r="K549">
        <v>8847</v>
      </c>
      <c r="L549">
        <v>15</v>
      </c>
      <c r="M549">
        <v>132705</v>
      </c>
      <c r="N549" t="s">
        <v>21</v>
      </c>
    </row>
    <row r="550" spans="5:14" x14ac:dyDescent="0.35">
      <c r="E550" t="s">
        <v>55</v>
      </c>
      <c r="F550" t="s">
        <v>30</v>
      </c>
      <c r="G550" t="s">
        <v>12</v>
      </c>
      <c r="H550" t="s">
        <v>22</v>
      </c>
      <c r="I550" t="s">
        <v>23</v>
      </c>
      <c r="J550" t="s">
        <v>24</v>
      </c>
      <c r="K550">
        <v>8925</v>
      </c>
      <c r="L550">
        <v>2</v>
      </c>
      <c r="M550">
        <v>17850</v>
      </c>
      <c r="N550" t="s">
        <v>16</v>
      </c>
    </row>
    <row r="551" spans="5:14" x14ac:dyDescent="0.35">
      <c r="E551" t="s">
        <v>55</v>
      </c>
      <c r="F551" t="s">
        <v>30</v>
      </c>
      <c r="G551" t="s">
        <v>12</v>
      </c>
      <c r="H551" t="s">
        <v>22</v>
      </c>
      <c r="I551" t="s">
        <v>23</v>
      </c>
      <c r="J551" t="s">
        <v>25</v>
      </c>
      <c r="K551">
        <v>13164</v>
      </c>
      <c r="L551">
        <v>2</v>
      </c>
      <c r="M551">
        <v>26328</v>
      </c>
      <c r="N551" t="s">
        <v>16</v>
      </c>
    </row>
    <row r="552" spans="5:14" x14ac:dyDescent="0.35">
      <c r="E552" t="s">
        <v>55</v>
      </c>
      <c r="F552" t="s">
        <v>30</v>
      </c>
      <c r="G552" t="s">
        <v>12</v>
      </c>
      <c r="H552" t="s">
        <v>22</v>
      </c>
      <c r="I552" t="s">
        <v>23</v>
      </c>
      <c r="J552" t="s">
        <v>26</v>
      </c>
      <c r="K552">
        <v>13152</v>
      </c>
      <c r="L552">
        <v>5</v>
      </c>
      <c r="M552">
        <v>65760</v>
      </c>
      <c r="N552" t="s">
        <v>21</v>
      </c>
    </row>
    <row r="553" spans="5:14" x14ac:dyDescent="0.35">
      <c r="E553" t="s">
        <v>55</v>
      </c>
      <c r="F553" t="s">
        <v>30</v>
      </c>
      <c r="G553" t="s">
        <v>12</v>
      </c>
      <c r="H553" t="s">
        <v>22</v>
      </c>
      <c r="I553" t="s">
        <v>27</v>
      </c>
      <c r="J553" t="s">
        <v>28</v>
      </c>
      <c r="K553">
        <v>7770</v>
      </c>
      <c r="L553">
        <v>3</v>
      </c>
      <c r="M553">
        <v>23310</v>
      </c>
      <c r="N553" t="s">
        <v>18</v>
      </c>
    </row>
    <row r="554" spans="5:14" x14ac:dyDescent="0.35">
      <c r="E554" t="s">
        <v>55</v>
      </c>
      <c r="F554" t="s">
        <v>31</v>
      </c>
      <c r="G554" t="s">
        <v>12</v>
      </c>
      <c r="H554" t="s">
        <v>13</v>
      </c>
      <c r="I554" t="s">
        <v>14</v>
      </c>
      <c r="J554" t="s">
        <v>15</v>
      </c>
      <c r="K554">
        <v>12256</v>
      </c>
      <c r="L554">
        <v>10</v>
      </c>
      <c r="M554">
        <v>122560</v>
      </c>
      <c r="N554" t="s">
        <v>16</v>
      </c>
    </row>
    <row r="555" spans="5:14" x14ac:dyDescent="0.35">
      <c r="E555" t="s">
        <v>55</v>
      </c>
      <c r="F555" t="s">
        <v>31</v>
      </c>
      <c r="G555" t="s">
        <v>12</v>
      </c>
      <c r="H555" t="s">
        <v>13</v>
      </c>
      <c r="I555" t="s">
        <v>14</v>
      </c>
      <c r="J555" t="s">
        <v>17</v>
      </c>
      <c r="K555">
        <v>14085</v>
      </c>
      <c r="L555">
        <v>20</v>
      </c>
      <c r="M555">
        <v>281700</v>
      </c>
      <c r="N555" t="s">
        <v>16</v>
      </c>
    </row>
    <row r="556" spans="5:14" x14ac:dyDescent="0.35">
      <c r="E556" t="s">
        <v>55</v>
      </c>
      <c r="F556" t="s">
        <v>31</v>
      </c>
      <c r="G556" t="s">
        <v>12</v>
      </c>
      <c r="H556" t="s">
        <v>13</v>
      </c>
      <c r="I556" t="s">
        <v>14</v>
      </c>
      <c r="J556" t="s">
        <v>19</v>
      </c>
      <c r="K556">
        <v>6910</v>
      </c>
      <c r="L556">
        <v>30</v>
      </c>
      <c r="M556">
        <v>207300</v>
      </c>
      <c r="N556" t="s">
        <v>21</v>
      </c>
    </row>
    <row r="557" spans="5:14" x14ac:dyDescent="0.35">
      <c r="E557" t="s">
        <v>55</v>
      </c>
      <c r="F557" t="s">
        <v>31</v>
      </c>
      <c r="G557" t="s">
        <v>12</v>
      </c>
      <c r="H557" t="s">
        <v>13</v>
      </c>
      <c r="I557" t="s">
        <v>14</v>
      </c>
      <c r="J557" t="s">
        <v>20</v>
      </c>
      <c r="K557">
        <v>14759</v>
      </c>
      <c r="L557">
        <v>15</v>
      </c>
      <c r="M557">
        <v>221385</v>
      </c>
      <c r="N557" t="s">
        <v>18</v>
      </c>
    </row>
    <row r="558" spans="5:14" x14ac:dyDescent="0.35">
      <c r="E558" t="s">
        <v>55</v>
      </c>
      <c r="F558" t="s">
        <v>31</v>
      </c>
      <c r="G558" t="s">
        <v>12</v>
      </c>
      <c r="H558" t="s">
        <v>22</v>
      </c>
      <c r="I558" t="s">
        <v>23</v>
      </c>
      <c r="J558" t="s">
        <v>24</v>
      </c>
      <c r="K558">
        <v>5456</v>
      </c>
      <c r="L558">
        <v>2</v>
      </c>
      <c r="M558">
        <v>10912</v>
      </c>
      <c r="N558" t="s">
        <v>21</v>
      </c>
    </row>
    <row r="559" spans="5:14" x14ac:dyDescent="0.35">
      <c r="E559" t="s">
        <v>55</v>
      </c>
      <c r="F559" t="s">
        <v>31</v>
      </c>
      <c r="G559" t="s">
        <v>12</v>
      </c>
      <c r="H559" t="s">
        <v>22</v>
      </c>
      <c r="I559" t="s">
        <v>23</v>
      </c>
      <c r="J559" t="s">
        <v>25</v>
      </c>
      <c r="K559">
        <v>12508</v>
      </c>
      <c r="L559">
        <v>2</v>
      </c>
      <c r="M559">
        <v>25016</v>
      </c>
      <c r="N559" t="s">
        <v>21</v>
      </c>
    </row>
    <row r="560" spans="5:14" x14ac:dyDescent="0.35">
      <c r="E560" t="s">
        <v>55</v>
      </c>
      <c r="F560" t="s">
        <v>31</v>
      </c>
      <c r="G560" t="s">
        <v>12</v>
      </c>
      <c r="H560" t="s">
        <v>22</v>
      </c>
      <c r="I560" t="s">
        <v>23</v>
      </c>
      <c r="J560" t="s">
        <v>26</v>
      </c>
      <c r="K560">
        <v>8361</v>
      </c>
      <c r="L560">
        <v>5</v>
      </c>
      <c r="M560">
        <v>41805</v>
      </c>
      <c r="N560" t="s">
        <v>16</v>
      </c>
    </row>
    <row r="561" spans="5:14" x14ac:dyDescent="0.35">
      <c r="E561" t="s">
        <v>55</v>
      </c>
      <c r="F561" t="s">
        <v>31</v>
      </c>
      <c r="G561" t="s">
        <v>12</v>
      </c>
      <c r="H561" t="s">
        <v>22</v>
      </c>
      <c r="I561" t="s">
        <v>27</v>
      </c>
      <c r="J561" t="s">
        <v>28</v>
      </c>
      <c r="K561">
        <v>11910</v>
      </c>
      <c r="L561">
        <v>3</v>
      </c>
      <c r="M561">
        <v>35730</v>
      </c>
      <c r="N561" t="s">
        <v>16</v>
      </c>
    </row>
    <row r="562" spans="5:14" x14ac:dyDescent="0.35">
      <c r="E562" t="s">
        <v>55</v>
      </c>
      <c r="F562" t="s">
        <v>32</v>
      </c>
      <c r="G562" t="s">
        <v>12</v>
      </c>
      <c r="H562" t="s">
        <v>13</v>
      </c>
      <c r="I562" t="s">
        <v>14</v>
      </c>
      <c r="J562" t="s">
        <v>15</v>
      </c>
      <c r="K562">
        <v>5250</v>
      </c>
      <c r="L562">
        <v>10</v>
      </c>
      <c r="M562">
        <v>52500</v>
      </c>
      <c r="N562" t="s">
        <v>21</v>
      </c>
    </row>
    <row r="563" spans="5:14" x14ac:dyDescent="0.35">
      <c r="E563" t="s">
        <v>55</v>
      </c>
      <c r="F563" t="s">
        <v>32</v>
      </c>
      <c r="G563" t="s">
        <v>12</v>
      </c>
      <c r="H563" t="s">
        <v>13</v>
      </c>
      <c r="I563" t="s">
        <v>14</v>
      </c>
      <c r="J563" t="s">
        <v>17</v>
      </c>
      <c r="K563">
        <v>13764</v>
      </c>
      <c r="L563">
        <v>20</v>
      </c>
      <c r="M563">
        <v>275280</v>
      </c>
      <c r="N563" t="s">
        <v>18</v>
      </c>
    </row>
    <row r="564" spans="5:14" x14ac:dyDescent="0.35">
      <c r="E564" t="s">
        <v>55</v>
      </c>
      <c r="F564" t="s">
        <v>32</v>
      </c>
      <c r="G564" t="s">
        <v>12</v>
      </c>
      <c r="H564" t="s">
        <v>13</v>
      </c>
      <c r="I564" t="s">
        <v>14</v>
      </c>
      <c r="J564" t="s">
        <v>19</v>
      </c>
      <c r="K564">
        <v>7623</v>
      </c>
      <c r="L564">
        <v>30</v>
      </c>
      <c r="M564">
        <v>228690</v>
      </c>
      <c r="N564" t="s">
        <v>21</v>
      </c>
    </row>
    <row r="565" spans="5:14" x14ac:dyDescent="0.35">
      <c r="E565" t="s">
        <v>55</v>
      </c>
      <c r="F565" t="s">
        <v>32</v>
      </c>
      <c r="G565" t="s">
        <v>12</v>
      </c>
      <c r="H565" t="s">
        <v>13</v>
      </c>
      <c r="I565" t="s">
        <v>14</v>
      </c>
      <c r="J565" t="s">
        <v>20</v>
      </c>
      <c r="K565">
        <v>8795</v>
      </c>
      <c r="L565">
        <v>15</v>
      </c>
      <c r="M565">
        <v>131925</v>
      </c>
      <c r="N565" t="s">
        <v>21</v>
      </c>
    </row>
    <row r="566" spans="5:14" x14ac:dyDescent="0.35">
      <c r="E566" t="s">
        <v>55</v>
      </c>
      <c r="F566" t="s">
        <v>32</v>
      </c>
      <c r="G566" t="s">
        <v>12</v>
      </c>
      <c r="H566" t="s">
        <v>22</v>
      </c>
      <c r="I566" t="s">
        <v>23</v>
      </c>
      <c r="J566" t="s">
        <v>24</v>
      </c>
      <c r="K566">
        <v>8207</v>
      </c>
      <c r="L566">
        <v>2</v>
      </c>
      <c r="M566">
        <v>16414</v>
      </c>
      <c r="N566" t="s">
        <v>16</v>
      </c>
    </row>
    <row r="567" spans="5:14" x14ac:dyDescent="0.35">
      <c r="E567" t="s">
        <v>55</v>
      </c>
      <c r="F567" t="s">
        <v>32</v>
      </c>
      <c r="G567" t="s">
        <v>12</v>
      </c>
      <c r="H567" t="s">
        <v>22</v>
      </c>
      <c r="I567" t="s">
        <v>23</v>
      </c>
      <c r="J567" t="s">
        <v>25</v>
      </c>
      <c r="K567">
        <v>11022</v>
      </c>
      <c r="L567">
        <v>2</v>
      </c>
      <c r="M567">
        <v>22044</v>
      </c>
      <c r="N567" t="s">
        <v>16</v>
      </c>
    </row>
    <row r="568" spans="5:14" x14ac:dyDescent="0.35">
      <c r="E568" t="s">
        <v>55</v>
      </c>
      <c r="F568" t="s">
        <v>32</v>
      </c>
      <c r="G568" t="s">
        <v>12</v>
      </c>
      <c r="H568" t="s">
        <v>22</v>
      </c>
      <c r="I568" t="s">
        <v>23</v>
      </c>
      <c r="J568" t="s">
        <v>26</v>
      </c>
      <c r="K568">
        <v>14378</v>
      </c>
      <c r="L568">
        <v>5</v>
      </c>
      <c r="M568">
        <v>71890</v>
      </c>
      <c r="N568" t="s">
        <v>18</v>
      </c>
    </row>
    <row r="569" spans="5:14" x14ac:dyDescent="0.35">
      <c r="E569" t="s">
        <v>55</v>
      </c>
      <c r="F569" t="s">
        <v>32</v>
      </c>
      <c r="G569" t="s">
        <v>12</v>
      </c>
      <c r="H569" t="s">
        <v>22</v>
      </c>
      <c r="I569" t="s">
        <v>27</v>
      </c>
      <c r="J569" t="s">
        <v>28</v>
      </c>
      <c r="K569">
        <v>9147</v>
      </c>
      <c r="L569">
        <v>3</v>
      </c>
      <c r="M569">
        <v>27441</v>
      </c>
      <c r="N569" t="s">
        <v>18</v>
      </c>
    </row>
    <row r="570" spans="5:14" x14ac:dyDescent="0.35">
      <c r="E570" t="s">
        <v>55</v>
      </c>
      <c r="F570" t="s">
        <v>33</v>
      </c>
      <c r="G570" t="s">
        <v>12</v>
      </c>
      <c r="H570" t="s">
        <v>13</v>
      </c>
      <c r="I570" t="s">
        <v>14</v>
      </c>
      <c r="J570" t="s">
        <v>15</v>
      </c>
      <c r="K570">
        <v>7079</v>
      </c>
      <c r="L570">
        <v>10</v>
      </c>
      <c r="M570">
        <v>70790</v>
      </c>
      <c r="N570" t="s">
        <v>16</v>
      </c>
    </row>
    <row r="571" spans="5:14" x14ac:dyDescent="0.35">
      <c r="E571" t="s">
        <v>55</v>
      </c>
      <c r="F571" t="s">
        <v>33</v>
      </c>
      <c r="G571" t="s">
        <v>12</v>
      </c>
      <c r="H571" t="s">
        <v>13</v>
      </c>
      <c r="I571" t="s">
        <v>14</v>
      </c>
      <c r="J571" t="s">
        <v>17</v>
      </c>
      <c r="K571">
        <v>12255</v>
      </c>
      <c r="L571">
        <v>20</v>
      </c>
      <c r="M571">
        <v>245100</v>
      </c>
      <c r="N571" t="s">
        <v>16</v>
      </c>
    </row>
    <row r="572" spans="5:14" x14ac:dyDescent="0.35">
      <c r="E572" t="s">
        <v>55</v>
      </c>
      <c r="F572" t="s">
        <v>33</v>
      </c>
      <c r="G572" t="s">
        <v>12</v>
      </c>
      <c r="H572" t="s">
        <v>13</v>
      </c>
      <c r="I572" t="s">
        <v>14</v>
      </c>
      <c r="J572" t="s">
        <v>19</v>
      </c>
      <c r="K572">
        <v>8518</v>
      </c>
      <c r="L572">
        <v>30</v>
      </c>
      <c r="M572">
        <v>255540</v>
      </c>
      <c r="N572" t="s">
        <v>16</v>
      </c>
    </row>
    <row r="573" spans="5:14" x14ac:dyDescent="0.35">
      <c r="E573" t="s">
        <v>55</v>
      </c>
      <c r="F573" t="s">
        <v>33</v>
      </c>
      <c r="G573" t="s">
        <v>12</v>
      </c>
      <c r="H573" t="s">
        <v>13</v>
      </c>
      <c r="I573" t="s">
        <v>14</v>
      </c>
      <c r="J573" t="s">
        <v>20</v>
      </c>
      <c r="K573">
        <v>6037</v>
      </c>
      <c r="L573">
        <v>15</v>
      </c>
      <c r="M573">
        <v>90555</v>
      </c>
      <c r="N573" t="s">
        <v>16</v>
      </c>
    </row>
    <row r="574" spans="5:14" x14ac:dyDescent="0.35">
      <c r="E574" t="s">
        <v>55</v>
      </c>
      <c r="F574" t="s">
        <v>33</v>
      </c>
      <c r="G574" t="s">
        <v>12</v>
      </c>
      <c r="H574" t="s">
        <v>22</v>
      </c>
      <c r="I574" t="s">
        <v>23</v>
      </c>
      <c r="J574" t="s">
        <v>24</v>
      </c>
      <c r="K574">
        <v>14338</v>
      </c>
      <c r="L574">
        <v>2</v>
      </c>
      <c r="M574">
        <v>28676</v>
      </c>
      <c r="N574" t="s">
        <v>16</v>
      </c>
    </row>
    <row r="575" spans="5:14" x14ac:dyDescent="0.35">
      <c r="E575" t="s">
        <v>55</v>
      </c>
      <c r="F575" t="s">
        <v>33</v>
      </c>
      <c r="G575" t="s">
        <v>12</v>
      </c>
      <c r="H575" t="s">
        <v>22</v>
      </c>
      <c r="I575" t="s">
        <v>23</v>
      </c>
      <c r="J575" t="s">
        <v>25</v>
      </c>
      <c r="K575">
        <v>9533</v>
      </c>
      <c r="L575">
        <v>2</v>
      </c>
      <c r="M575">
        <v>19066</v>
      </c>
      <c r="N575" t="s">
        <v>16</v>
      </c>
    </row>
    <row r="576" spans="5:14" x14ac:dyDescent="0.35">
      <c r="E576" t="s">
        <v>55</v>
      </c>
      <c r="F576" t="s">
        <v>33</v>
      </c>
      <c r="G576" t="s">
        <v>12</v>
      </c>
      <c r="H576" t="s">
        <v>22</v>
      </c>
      <c r="I576" t="s">
        <v>23</v>
      </c>
      <c r="J576" t="s">
        <v>26</v>
      </c>
      <c r="K576">
        <v>8385</v>
      </c>
      <c r="L576">
        <v>5</v>
      </c>
      <c r="M576">
        <v>41925</v>
      </c>
      <c r="N576" t="s">
        <v>21</v>
      </c>
    </row>
    <row r="577" spans="5:14" x14ac:dyDescent="0.35">
      <c r="E577" t="s">
        <v>55</v>
      </c>
      <c r="F577" t="s">
        <v>33</v>
      </c>
      <c r="G577" t="s">
        <v>12</v>
      </c>
      <c r="H577" t="s">
        <v>22</v>
      </c>
      <c r="I577" t="s">
        <v>27</v>
      </c>
      <c r="J577" t="s">
        <v>28</v>
      </c>
      <c r="K577">
        <v>12836</v>
      </c>
      <c r="L577">
        <v>3</v>
      </c>
      <c r="M577">
        <v>38508</v>
      </c>
      <c r="N577" t="s">
        <v>16</v>
      </c>
    </row>
    <row r="578" spans="5:14" x14ac:dyDescent="0.35">
      <c r="E578" t="s">
        <v>55</v>
      </c>
      <c r="F578" t="s">
        <v>34</v>
      </c>
      <c r="G578" t="s">
        <v>12</v>
      </c>
      <c r="H578" t="s">
        <v>13</v>
      </c>
      <c r="I578" t="s">
        <v>14</v>
      </c>
      <c r="J578" t="s">
        <v>15</v>
      </c>
      <c r="K578">
        <v>10779</v>
      </c>
      <c r="L578">
        <v>10</v>
      </c>
      <c r="M578">
        <v>107790</v>
      </c>
      <c r="N578" t="s">
        <v>21</v>
      </c>
    </row>
    <row r="579" spans="5:14" x14ac:dyDescent="0.35">
      <c r="E579" t="s">
        <v>55</v>
      </c>
      <c r="F579" t="s">
        <v>34</v>
      </c>
      <c r="G579" t="s">
        <v>12</v>
      </c>
      <c r="H579" t="s">
        <v>13</v>
      </c>
      <c r="I579" t="s">
        <v>14</v>
      </c>
      <c r="J579" t="s">
        <v>17</v>
      </c>
      <c r="K579">
        <v>7574</v>
      </c>
      <c r="L579">
        <v>20</v>
      </c>
      <c r="M579">
        <v>151480</v>
      </c>
      <c r="N579" t="s">
        <v>16</v>
      </c>
    </row>
    <row r="580" spans="5:14" x14ac:dyDescent="0.35">
      <c r="E580" t="s">
        <v>55</v>
      </c>
      <c r="F580" t="s">
        <v>34</v>
      </c>
      <c r="G580" t="s">
        <v>12</v>
      </c>
      <c r="H580" t="s">
        <v>13</v>
      </c>
      <c r="I580" t="s">
        <v>14</v>
      </c>
      <c r="J580" t="s">
        <v>19</v>
      </c>
      <c r="K580">
        <v>6631</v>
      </c>
      <c r="L580">
        <v>30</v>
      </c>
      <c r="M580">
        <v>198930</v>
      </c>
      <c r="N580" t="s">
        <v>18</v>
      </c>
    </row>
    <row r="581" spans="5:14" x14ac:dyDescent="0.35">
      <c r="E581" t="s">
        <v>55</v>
      </c>
      <c r="F581" t="s">
        <v>34</v>
      </c>
      <c r="G581" t="s">
        <v>12</v>
      </c>
      <c r="H581" t="s">
        <v>13</v>
      </c>
      <c r="I581" t="s">
        <v>14</v>
      </c>
      <c r="J581" t="s">
        <v>20</v>
      </c>
      <c r="K581">
        <v>14990</v>
      </c>
      <c r="L581">
        <v>15</v>
      </c>
      <c r="M581">
        <v>224850</v>
      </c>
      <c r="N581" t="s">
        <v>21</v>
      </c>
    </row>
    <row r="582" spans="5:14" x14ac:dyDescent="0.35">
      <c r="E582" t="s">
        <v>55</v>
      </c>
      <c r="F582" t="s">
        <v>34</v>
      </c>
      <c r="G582" t="s">
        <v>12</v>
      </c>
      <c r="H582" t="s">
        <v>22</v>
      </c>
      <c r="I582" t="s">
        <v>23</v>
      </c>
      <c r="J582" t="s">
        <v>24</v>
      </c>
      <c r="K582">
        <v>10804</v>
      </c>
      <c r="L582">
        <v>2</v>
      </c>
      <c r="M582">
        <v>21608</v>
      </c>
      <c r="N582" t="s">
        <v>21</v>
      </c>
    </row>
    <row r="583" spans="5:14" x14ac:dyDescent="0.35">
      <c r="E583" t="s">
        <v>55</v>
      </c>
      <c r="F583" t="s">
        <v>34</v>
      </c>
      <c r="G583" t="s">
        <v>12</v>
      </c>
      <c r="H583" t="s">
        <v>22</v>
      </c>
      <c r="I583" t="s">
        <v>23</v>
      </c>
      <c r="J583" t="s">
        <v>25</v>
      </c>
      <c r="K583">
        <v>7722</v>
      </c>
      <c r="L583">
        <v>2</v>
      </c>
      <c r="M583">
        <v>15444</v>
      </c>
      <c r="N583" t="s">
        <v>21</v>
      </c>
    </row>
    <row r="584" spans="5:14" x14ac:dyDescent="0.35">
      <c r="E584" t="s">
        <v>55</v>
      </c>
      <c r="F584" t="s">
        <v>34</v>
      </c>
      <c r="G584" t="s">
        <v>12</v>
      </c>
      <c r="H584" t="s">
        <v>22</v>
      </c>
      <c r="I584" t="s">
        <v>23</v>
      </c>
      <c r="J584" t="s">
        <v>26</v>
      </c>
      <c r="K584">
        <v>7076</v>
      </c>
      <c r="L584">
        <v>5</v>
      </c>
      <c r="M584">
        <v>35380</v>
      </c>
      <c r="N584" t="s">
        <v>21</v>
      </c>
    </row>
    <row r="585" spans="5:14" x14ac:dyDescent="0.35">
      <c r="E585" t="s">
        <v>55</v>
      </c>
      <c r="F585" t="s">
        <v>34</v>
      </c>
      <c r="G585" t="s">
        <v>12</v>
      </c>
      <c r="H585" t="s">
        <v>22</v>
      </c>
      <c r="I585" t="s">
        <v>27</v>
      </c>
      <c r="J585" t="s">
        <v>28</v>
      </c>
      <c r="K585">
        <v>14165</v>
      </c>
      <c r="L585">
        <v>3</v>
      </c>
      <c r="M585">
        <v>42495</v>
      </c>
      <c r="N585" t="s">
        <v>16</v>
      </c>
    </row>
    <row r="586" spans="5:14" x14ac:dyDescent="0.35">
      <c r="E586" t="s">
        <v>55</v>
      </c>
      <c r="F586" t="s">
        <v>35</v>
      </c>
      <c r="G586" t="s">
        <v>36</v>
      </c>
      <c r="H586" t="s">
        <v>13</v>
      </c>
      <c r="I586" t="s">
        <v>14</v>
      </c>
      <c r="J586" t="s">
        <v>15</v>
      </c>
      <c r="K586">
        <v>13190</v>
      </c>
      <c r="L586">
        <v>10</v>
      </c>
      <c r="M586">
        <v>131900</v>
      </c>
      <c r="N586" t="s">
        <v>16</v>
      </c>
    </row>
    <row r="587" spans="5:14" x14ac:dyDescent="0.35">
      <c r="E587" t="s">
        <v>55</v>
      </c>
      <c r="F587" t="s">
        <v>35</v>
      </c>
      <c r="G587" t="s">
        <v>36</v>
      </c>
      <c r="H587" t="s">
        <v>13</v>
      </c>
      <c r="I587" t="s">
        <v>14</v>
      </c>
      <c r="J587" t="s">
        <v>17</v>
      </c>
      <c r="K587">
        <v>5715</v>
      </c>
      <c r="L587">
        <v>20</v>
      </c>
      <c r="M587">
        <v>114300</v>
      </c>
      <c r="N587" t="s">
        <v>16</v>
      </c>
    </row>
    <row r="588" spans="5:14" x14ac:dyDescent="0.35">
      <c r="E588" t="s">
        <v>55</v>
      </c>
      <c r="F588" t="s">
        <v>35</v>
      </c>
      <c r="G588" t="s">
        <v>36</v>
      </c>
      <c r="H588" t="s">
        <v>13</v>
      </c>
      <c r="I588" t="s">
        <v>14</v>
      </c>
      <c r="J588" t="s">
        <v>19</v>
      </c>
      <c r="K588">
        <v>11125</v>
      </c>
      <c r="L588">
        <v>30</v>
      </c>
      <c r="M588">
        <v>333750</v>
      </c>
      <c r="N588" t="s">
        <v>18</v>
      </c>
    </row>
    <row r="589" spans="5:14" x14ac:dyDescent="0.35">
      <c r="E589" t="s">
        <v>55</v>
      </c>
      <c r="F589" t="s">
        <v>35</v>
      </c>
      <c r="G589" t="s">
        <v>36</v>
      </c>
      <c r="H589" t="s">
        <v>13</v>
      </c>
      <c r="I589" t="s">
        <v>14</v>
      </c>
      <c r="J589" t="s">
        <v>20</v>
      </c>
      <c r="K589">
        <v>12377</v>
      </c>
      <c r="L589">
        <v>15</v>
      </c>
      <c r="M589">
        <v>185655</v>
      </c>
      <c r="N589" t="s">
        <v>21</v>
      </c>
    </row>
    <row r="590" spans="5:14" x14ac:dyDescent="0.35">
      <c r="E590" t="s">
        <v>55</v>
      </c>
      <c r="F590" t="s">
        <v>35</v>
      </c>
      <c r="G590" t="s">
        <v>36</v>
      </c>
      <c r="H590" t="s">
        <v>22</v>
      </c>
      <c r="I590" t="s">
        <v>23</v>
      </c>
      <c r="J590" t="s">
        <v>24</v>
      </c>
      <c r="K590">
        <v>12977</v>
      </c>
      <c r="L590">
        <v>2</v>
      </c>
      <c r="M590">
        <v>25954</v>
      </c>
      <c r="N590" t="s">
        <v>21</v>
      </c>
    </row>
    <row r="591" spans="5:14" x14ac:dyDescent="0.35">
      <c r="E591" t="s">
        <v>55</v>
      </c>
      <c r="F591" t="s">
        <v>35</v>
      </c>
      <c r="G591" t="s">
        <v>36</v>
      </c>
      <c r="H591" t="s">
        <v>22</v>
      </c>
      <c r="I591" t="s">
        <v>23</v>
      </c>
      <c r="J591" t="s">
        <v>25</v>
      </c>
      <c r="K591">
        <v>8668</v>
      </c>
      <c r="L591">
        <v>2</v>
      </c>
      <c r="M591">
        <v>17336</v>
      </c>
      <c r="N591" t="s">
        <v>18</v>
      </c>
    </row>
    <row r="592" spans="5:14" x14ac:dyDescent="0.35">
      <c r="E592" t="s">
        <v>55</v>
      </c>
      <c r="F592" t="s">
        <v>35</v>
      </c>
      <c r="G592" t="s">
        <v>36</v>
      </c>
      <c r="H592" t="s">
        <v>22</v>
      </c>
      <c r="I592" t="s">
        <v>23</v>
      </c>
      <c r="J592" t="s">
        <v>26</v>
      </c>
      <c r="K592">
        <v>10909</v>
      </c>
      <c r="L592">
        <v>5</v>
      </c>
      <c r="M592">
        <v>54545</v>
      </c>
      <c r="N592" t="s">
        <v>18</v>
      </c>
    </row>
    <row r="593" spans="5:14" x14ac:dyDescent="0.35">
      <c r="E593" t="s">
        <v>55</v>
      </c>
      <c r="F593" t="s">
        <v>35</v>
      </c>
      <c r="G593" t="s">
        <v>36</v>
      </c>
      <c r="H593" t="s">
        <v>22</v>
      </c>
      <c r="I593" t="s">
        <v>27</v>
      </c>
      <c r="J593" t="s">
        <v>28</v>
      </c>
      <c r="K593">
        <v>9104</v>
      </c>
      <c r="L593">
        <v>3</v>
      </c>
      <c r="M593">
        <v>27312</v>
      </c>
      <c r="N593" t="s">
        <v>18</v>
      </c>
    </row>
    <row r="594" spans="5:14" x14ac:dyDescent="0.35">
      <c r="E594" t="s">
        <v>55</v>
      </c>
      <c r="F594" t="s">
        <v>37</v>
      </c>
      <c r="G594" t="s">
        <v>36</v>
      </c>
      <c r="H594" t="s">
        <v>13</v>
      </c>
      <c r="I594" t="s">
        <v>14</v>
      </c>
      <c r="J594" t="s">
        <v>15</v>
      </c>
      <c r="K594">
        <v>7451</v>
      </c>
      <c r="L594">
        <v>10</v>
      </c>
      <c r="M594">
        <v>74510</v>
      </c>
      <c r="N594" t="s">
        <v>18</v>
      </c>
    </row>
    <row r="595" spans="5:14" x14ac:dyDescent="0.35">
      <c r="E595" t="s">
        <v>55</v>
      </c>
      <c r="F595" t="s">
        <v>37</v>
      </c>
      <c r="G595" t="s">
        <v>36</v>
      </c>
      <c r="H595" t="s">
        <v>13</v>
      </c>
      <c r="I595" t="s">
        <v>14</v>
      </c>
      <c r="J595" t="s">
        <v>17</v>
      </c>
      <c r="K595">
        <v>5161</v>
      </c>
      <c r="L595">
        <v>20</v>
      </c>
      <c r="M595">
        <v>103220</v>
      </c>
      <c r="N595" t="s">
        <v>18</v>
      </c>
    </row>
    <row r="596" spans="5:14" x14ac:dyDescent="0.35">
      <c r="E596" t="s">
        <v>55</v>
      </c>
      <c r="F596" t="s">
        <v>37</v>
      </c>
      <c r="G596" t="s">
        <v>36</v>
      </c>
      <c r="H596" t="s">
        <v>13</v>
      </c>
      <c r="I596" t="s">
        <v>14</v>
      </c>
      <c r="J596" t="s">
        <v>19</v>
      </c>
      <c r="K596">
        <v>10418</v>
      </c>
      <c r="L596">
        <v>30</v>
      </c>
      <c r="M596">
        <v>312540</v>
      </c>
      <c r="N596" t="s">
        <v>21</v>
      </c>
    </row>
    <row r="597" spans="5:14" x14ac:dyDescent="0.35">
      <c r="E597" t="s">
        <v>55</v>
      </c>
      <c r="F597" t="s">
        <v>37</v>
      </c>
      <c r="G597" t="s">
        <v>36</v>
      </c>
      <c r="H597" t="s">
        <v>13</v>
      </c>
      <c r="I597" t="s">
        <v>14</v>
      </c>
      <c r="J597" t="s">
        <v>20</v>
      </c>
      <c r="K597">
        <v>14931</v>
      </c>
      <c r="L597">
        <v>15</v>
      </c>
      <c r="M597">
        <v>223965</v>
      </c>
      <c r="N597" t="s">
        <v>18</v>
      </c>
    </row>
    <row r="598" spans="5:14" x14ac:dyDescent="0.35">
      <c r="E598" t="s">
        <v>55</v>
      </c>
      <c r="F598" t="s">
        <v>37</v>
      </c>
      <c r="G598" t="s">
        <v>36</v>
      </c>
      <c r="H598" t="s">
        <v>22</v>
      </c>
      <c r="I598" t="s">
        <v>23</v>
      </c>
      <c r="J598" t="s">
        <v>24</v>
      </c>
      <c r="K598">
        <v>7641</v>
      </c>
      <c r="L598">
        <v>2</v>
      </c>
      <c r="M598">
        <v>15282</v>
      </c>
      <c r="N598" t="s">
        <v>21</v>
      </c>
    </row>
    <row r="599" spans="5:14" x14ac:dyDescent="0.35">
      <c r="E599" t="s">
        <v>55</v>
      </c>
      <c r="F599" t="s">
        <v>37</v>
      </c>
      <c r="G599" t="s">
        <v>36</v>
      </c>
      <c r="H599" t="s">
        <v>22</v>
      </c>
      <c r="I599" t="s">
        <v>23</v>
      </c>
      <c r="J599" t="s">
        <v>25</v>
      </c>
      <c r="K599">
        <v>8144</v>
      </c>
      <c r="L599">
        <v>2</v>
      </c>
      <c r="M599">
        <v>16288</v>
      </c>
      <c r="N599" t="s">
        <v>16</v>
      </c>
    </row>
    <row r="600" spans="5:14" x14ac:dyDescent="0.35">
      <c r="E600" t="s">
        <v>55</v>
      </c>
      <c r="F600" t="s">
        <v>37</v>
      </c>
      <c r="G600" t="s">
        <v>36</v>
      </c>
      <c r="H600" t="s">
        <v>22</v>
      </c>
      <c r="I600" t="s">
        <v>23</v>
      </c>
      <c r="J600" t="s">
        <v>26</v>
      </c>
      <c r="K600">
        <v>14448</v>
      </c>
      <c r="L600">
        <v>5</v>
      </c>
      <c r="M600">
        <v>72240</v>
      </c>
      <c r="N600" t="s">
        <v>16</v>
      </c>
    </row>
    <row r="601" spans="5:14" x14ac:dyDescent="0.35">
      <c r="E601" t="s">
        <v>55</v>
      </c>
      <c r="F601" t="s">
        <v>37</v>
      </c>
      <c r="G601" t="s">
        <v>36</v>
      </c>
      <c r="H601" t="s">
        <v>22</v>
      </c>
      <c r="I601" t="s">
        <v>27</v>
      </c>
      <c r="J601" t="s">
        <v>28</v>
      </c>
      <c r="K601">
        <v>10771</v>
      </c>
      <c r="L601">
        <v>3</v>
      </c>
      <c r="M601">
        <v>32313</v>
      </c>
      <c r="N601" t="s">
        <v>18</v>
      </c>
    </row>
    <row r="602" spans="5:14" x14ac:dyDescent="0.35">
      <c r="E602" t="s">
        <v>55</v>
      </c>
      <c r="F602" t="s">
        <v>38</v>
      </c>
      <c r="G602" t="s">
        <v>36</v>
      </c>
      <c r="H602" t="s">
        <v>13</v>
      </c>
      <c r="I602" t="s">
        <v>14</v>
      </c>
      <c r="J602" t="s">
        <v>15</v>
      </c>
      <c r="K602">
        <v>6854</v>
      </c>
      <c r="L602">
        <v>10</v>
      </c>
      <c r="M602">
        <v>68540</v>
      </c>
      <c r="N602" t="s">
        <v>18</v>
      </c>
    </row>
    <row r="603" spans="5:14" x14ac:dyDescent="0.35">
      <c r="E603" t="s">
        <v>55</v>
      </c>
      <c r="F603" t="s">
        <v>38</v>
      </c>
      <c r="G603" t="s">
        <v>36</v>
      </c>
      <c r="H603" t="s">
        <v>13</v>
      </c>
      <c r="I603" t="s">
        <v>14</v>
      </c>
      <c r="J603" t="s">
        <v>17</v>
      </c>
      <c r="K603">
        <v>6744</v>
      </c>
      <c r="L603">
        <v>20</v>
      </c>
      <c r="M603">
        <v>134880</v>
      </c>
      <c r="N603" t="s">
        <v>16</v>
      </c>
    </row>
    <row r="604" spans="5:14" x14ac:dyDescent="0.35">
      <c r="E604" t="s">
        <v>55</v>
      </c>
      <c r="F604" t="s">
        <v>38</v>
      </c>
      <c r="G604" t="s">
        <v>36</v>
      </c>
      <c r="H604" t="s">
        <v>13</v>
      </c>
      <c r="I604" t="s">
        <v>14</v>
      </c>
      <c r="J604" t="s">
        <v>19</v>
      </c>
      <c r="K604">
        <v>13404</v>
      </c>
      <c r="L604">
        <v>30</v>
      </c>
      <c r="M604">
        <v>402120</v>
      </c>
      <c r="N604" t="s">
        <v>21</v>
      </c>
    </row>
    <row r="605" spans="5:14" x14ac:dyDescent="0.35">
      <c r="E605" t="s">
        <v>55</v>
      </c>
      <c r="F605" t="s">
        <v>38</v>
      </c>
      <c r="G605" t="s">
        <v>36</v>
      </c>
      <c r="H605" t="s">
        <v>13</v>
      </c>
      <c r="I605" t="s">
        <v>14</v>
      </c>
      <c r="J605" t="s">
        <v>20</v>
      </c>
      <c r="K605">
        <v>8731</v>
      </c>
      <c r="L605">
        <v>15</v>
      </c>
      <c r="M605">
        <v>130965</v>
      </c>
      <c r="N605" t="s">
        <v>16</v>
      </c>
    </row>
    <row r="606" spans="5:14" x14ac:dyDescent="0.35">
      <c r="E606" t="s">
        <v>55</v>
      </c>
      <c r="F606" t="s">
        <v>38</v>
      </c>
      <c r="G606" t="s">
        <v>36</v>
      </c>
      <c r="H606" t="s">
        <v>22</v>
      </c>
      <c r="I606" t="s">
        <v>23</v>
      </c>
      <c r="J606" t="s">
        <v>24</v>
      </c>
      <c r="K606">
        <v>8505</v>
      </c>
      <c r="L606">
        <v>2</v>
      </c>
      <c r="M606">
        <v>17010</v>
      </c>
      <c r="N606" t="s">
        <v>16</v>
      </c>
    </row>
    <row r="607" spans="5:14" x14ac:dyDescent="0.35">
      <c r="E607" t="s">
        <v>55</v>
      </c>
      <c r="F607" t="s">
        <v>38</v>
      </c>
      <c r="G607" t="s">
        <v>36</v>
      </c>
      <c r="H607" t="s">
        <v>22</v>
      </c>
      <c r="I607" t="s">
        <v>23</v>
      </c>
      <c r="J607" t="s">
        <v>25</v>
      </c>
      <c r="K607">
        <v>12636</v>
      </c>
      <c r="L607">
        <v>2</v>
      </c>
      <c r="M607">
        <v>25272</v>
      </c>
      <c r="N607" t="s">
        <v>21</v>
      </c>
    </row>
    <row r="608" spans="5:14" x14ac:dyDescent="0.35">
      <c r="E608" t="s">
        <v>55</v>
      </c>
      <c r="F608" t="s">
        <v>38</v>
      </c>
      <c r="G608" t="s">
        <v>36</v>
      </c>
      <c r="H608" t="s">
        <v>22</v>
      </c>
      <c r="I608" t="s">
        <v>23</v>
      </c>
      <c r="J608" t="s">
        <v>26</v>
      </c>
      <c r="K608">
        <v>6381</v>
      </c>
      <c r="L608">
        <v>5</v>
      </c>
      <c r="M608">
        <v>31905</v>
      </c>
      <c r="N608" t="s">
        <v>16</v>
      </c>
    </row>
    <row r="609" spans="5:14" x14ac:dyDescent="0.35">
      <c r="E609" t="s">
        <v>55</v>
      </c>
      <c r="F609" t="s">
        <v>38</v>
      </c>
      <c r="G609" t="s">
        <v>36</v>
      </c>
      <c r="H609" t="s">
        <v>22</v>
      </c>
      <c r="I609" t="s">
        <v>27</v>
      </c>
      <c r="J609" t="s">
        <v>28</v>
      </c>
      <c r="K609">
        <v>12333</v>
      </c>
      <c r="L609">
        <v>3</v>
      </c>
      <c r="M609">
        <v>36999</v>
      </c>
      <c r="N609" t="s">
        <v>18</v>
      </c>
    </row>
    <row r="610" spans="5:14" x14ac:dyDescent="0.35">
      <c r="E610" t="s">
        <v>55</v>
      </c>
      <c r="F610" t="s">
        <v>39</v>
      </c>
      <c r="G610" t="s">
        <v>36</v>
      </c>
      <c r="H610" t="s">
        <v>13</v>
      </c>
      <c r="I610" t="s">
        <v>14</v>
      </c>
      <c r="J610" t="s">
        <v>15</v>
      </c>
      <c r="K610">
        <v>10823</v>
      </c>
      <c r="L610">
        <v>10</v>
      </c>
      <c r="M610">
        <v>108230</v>
      </c>
      <c r="N610" t="s">
        <v>18</v>
      </c>
    </row>
    <row r="611" spans="5:14" x14ac:dyDescent="0.35">
      <c r="E611" t="s">
        <v>55</v>
      </c>
      <c r="F611" t="s">
        <v>39</v>
      </c>
      <c r="G611" t="s">
        <v>36</v>
      </c>
      <c r="H611" t="s">
        <v>13</v>
      </c>
      <c r="I611" t="s">
        <v>14</v>
      </c>
      <c r="J611" t="s">
        <v>17</v>
      </c>
      <c r="K611">
        <v>13994</v>
      </c>
      <c r="L611">
        <v>20</v>
      </c>
      <c r="M611">
        <v>279880</v>
      </c>
      <c r="N611" t="s">
        <v>21</v>
      </c>
    </row>
    <row r="612" spans="5:14" x14ac:dyDescent="0.35">
      <c r="E612" t="s">
        <v>55</v>
      </c>
      <c r="F612" t="s">
        <v>39</v>
      </c>
      <c r="G612" t="s">
        <v>36</v>
      </c>
      <c r="H612" t="s">
        <v>13</v>
      </c>
      <c r="I612" t="s">
        <v>14</v>
      </c>
      <c r="J612" t="s">
        <v>19</v>
      </c>
      <c r="K612">
        <v>10147</v>
      </c>
      <c r="L612">
        <v>30</v>
      </c>
      <c r="M612">
        <v>304410</v>
      </c>
      <c r="N612" t="s">
        <v>18</v>
      </c>
    </row>
    <row r="613" spans="5:14" x14ac:dyDescent="0.35">
      <c r="E613" t="s">
        <v>55</v>
      </c>
      <c r="F613" t="s">
        <v>39</v>
      </c>
      <c r="G613" t="s">
        <v>36</v>
      </c>
      <c r="H613" t="s">
        <v>13</v>
      </c>
      <c r="I613" t="s">
        <v>14</v>
      </c>
      <c r="J613" t="s">
        <v>20</v>
      </c>
      <c r="K613">
        <v>10947</v>
      </c>
      <c r="L613">
        <v>15</v>
      </c>
      <c r="M613">
        <v>164205</v>
      </c>
      <c r="N613" t="s">
        <v>18</v>
      </c>
    </row>
    <row r="614" spans="5:14" x14ac:dyDescent="0.35">
      <c r="E614" t="s">
        <v>55</v>
      </c>
      <c r="F614" t="s">
        <v>39</v>
      </c>
      <c r="G614" t="s">
        <v>36</v>
      </c>
      <c r="H614" t="s">
        <v>22</v>
      </c>
      <c r="I614" t="s">
        <v>23</v>
      </c>
      <c r="J614" t="s">
        <v>24</v>
      </c>
      <c r="K614">
        <v>6886</v>
      </c>
      <c r="L614">
        <v>2</v>
      </c>
      <c r="M614">
        <v>13772</v>
      </c>
      <c r="N614" t="s">
        <v>21</v>
      </c>
    </row>
    <row r="615" spans="5:14" x14ac:dyDescent="0.35">
      <c r="E615" t="s">
        <v>55</v>
      </c>
      <c r="F615" t="s">
        <v>39</v>
      </c>
      <c r="G615" t="s">
        <v>36</v>
      </c>
      <c r="H615" t="s">
        <v>22</v>
      </c>
      <c r="I615" t="s">
        <v>23</v>
      </c>
      <c r="J615" t="s">
        <v>25</v>
      </c>
      <c r="K615">
        <v>8878</v>
      </c>
      <c r="L615">
        <v>2</v>
      </c>
      <c r="M615">
        <v>17756</v>
      </c>
      <c r="N615" t="s">
        <v>18</v>
      </c>
    </row>
    <row r="616" spans="5:14" x14ac:dyDescent="0.35">
      <c r="E616" t="s">
        <v>55</v>
      </c>
      <c r="F616" t="s">
        <v>39</v>
      </c>
      <c r="G616" t="s">
        <v>36</v>
      </c>
      <c r="H616" t="s">
        <v>22</v>
      </c>
      <c r="I616" t="s">
        <v>23</v>
      </c>
      <c r="J616" t="s">
        <v>26</v>
      </c>
      <c r="K616">
        <v>6182</v>
      </c>
      <c r="L616">
        <v>5</v>
      </c>
      <c r="M616">
        <v>30910</v>
      </c>
      <c r="N616" t="s">
        <v>21</v>
      </c>
    </row>
    <row r="617" spans="5:14" x14ac:dyDescent="0.35">
      <c r="E617" t="s">
        <v>55</v>
      </c>
      <c r="F617" t="s">
        <v>39</v>
      </c>
      <c r="G617" t="s">
        <v>36</v>
      </c>
      <c r="H617" t="s">
        <v>22</v>
      </c>
      <c r="I617" t="s">
        <v>27</v>
      </c>
      <c r="J617" t="s">
        <v>28</v>
      </c>
      <c r="K617">
        <v>8594</v>
      </c>
      <c r="L617">
        <v>3</v>
      </c>
      <c r="M617">
        <v>25782</v>
      </c>
      <c r="N617" t="s">
        <v>18</v>
      </c>
    </row>
    <row r="618" spans="5:14" x14ac:dyDescent="0.35">
      <c r="E618" t="s">
        <v>55</v>
      </c>
      <c r="F618" t="s">
        <v>40</v>
      </c>
      <c r="G618" t="s">
        <v>36</v>
      </c>
      <c r="H618" t="s">
        <v>13</v>
      </c>
      <c r="I618" t="s">
        <v>14</v>
      </c>
      <c r="J618" t="s">
        <v>15</v>
      </c>
      <c r="K618">
        <v>6065</v>
      </c>
      <c r="L618">
        <v>10</v>
      </c>
      <c r="M618">
        <v>60650</v>
      </c>
      <c r="N618" t="s">
        <v>21</v>
      </c>
    </row>
    <row r="619" spans="5:14" x14ac:dyDescent="0.35">
      <c r="E619" t="s">
        <v>55</v>
      </c>
      <c r="F619" t="s">
        <v>40</v>
      </c>
      <c r="G619" t="s">
        <v>36</v>
      </c>
      <c r="H619" t="s">
        <v>13</v>
      </c>
      <c r="I619" t="s">
        <v>14</v>
      </c>
      <c r="J619" t="s">
        <v>17</v>
      </c>
      <c r="K619">
        <v>7353</v>
      </c>
      <c r="L619">
        <v>20</v>
      </c>
      <c r="M619">
        <v>147060</v>
      </c>
      <c r="N619" t="s">
        <v>18</v>
      </c>
    </row>
    <row r="620" spans="5:14" x14ac:dyDescent="0.35">
      <c r="E620" t="s">
        <v>55</v>
      </c>
      <c r="F620" t="s">
        <v>40</v>
      </c>
      <c r="G620" t="s">
        <v>36</v>
      </c>
      <c r="H620" t="s">
        <v>13</v>
      </c>
      <c r="I620" t="s">
        <v>14</v>
      </c>
      <c r="J620" t="s">
        <v>19</v>
      </c>
      <c r="K620">
        <v>10199</v>
      </c>
      <c r="L620">
        <v>30</v>
      </c>
      <c r="M620">
        <v>305970</v>
      </c>
      <c r="N620" t="s">
        <v>21</v>
      </c>
    </row>
    <row r="621" spans="5:14" x14ac:dyDescent="0.35">
      <c r="E621" t="s">
        <v>55</v>
      </c>
      <c r="F621" t="s">
        <v>40</v>
      </c>
      <c r="G621" t="s">
        <v>36</v>
      </c>
      <c r="H621" t="s">
        <v>13</v>
      </c>
      <c r="I621" t="s">
        <v>14</v>
      </c>
      <c r="J621" t="s">
        <v>20</v>
      </c>
      <c r="K621">
        <v>11433</v>
      </c>
      <c r="L621">
        <v>15</v>
      </c>
      <c r="M621">
        <v>171495</v>
      </c>
      <c r="N621" t="s">
        <v>18</v>
      </c>
    </row>
    <row r="622" spans="5:14" x14ac:dyDescent="0.35">
      <c r="E622" t="s">
        <v>55</v>
      </c>
      <c r="F622" t="s">
        <v>40</v>
      </c>
      <c r="G622" t="s">
        <v>36</v>
      </c>
      <c r="H622" t="s">
        <v>22</v>
      </c>
      <c r="I622" t="s">
        <v>23</v>
      </c>
      <c r="J622" t="s">
        <v>24</v>
      </c>
      <c r="K622">
        <v>10641</v>
      </c>
      <c r="L622">
        <v>2</v>
      </c>
      <c r="M622">
        <v>21282</v>
      </c>
      <c r="N622" t="s">
        <v>21</v>
      </c>
    </row>
    <row r="623" spans="5:14" x14ac:dyDescent="0.35">
      <c r="E623" t="s">
        <v>55</v>
      </c>
      <c r="F623" t="s">
        <v>40</v>
      </c>
      <c r="G623" t="s">
        <v>36</v>
      </c>
      <c r="H623" t="s">
        <v>22</v>
      </c>
      <c r="I623" t="s">
        <v>23</v>
      </c>
      <c r="J623" t="s">
        <v>25</v>
      </c>
      <c r="K623">
        <v>7912</v>
      </c>
      <c r="L623">
        <v>2</v>
      </c>
      <c r="M623">
        <v>15824</v>
      </c>
      <c r="N623" t="s">
        <v>18</v>
      </c>
    </row>
    <row r="624" spans="5:14" x14ac:dyDescent="0.35">
      <c r="E624" t="s">
        <v>55</v>
      </c>
      <c r="F624" t="s">
        <v>40</v>
      </c>
      <c r="G624" t="s">
        <v>36</v>
      </c>
      <c r="H624" t="s">
        <v>22</v>
      </c>
      <c r="I624" t="s">
        <v>23</v>
      </c>
      <c r="J624" t="s">
        <v>26</v>
      </c>
      <c r="K624">
        <v>10596</v>
      </c>
      <c r="L624">
        <v>5</v>
      </c>
      <c r="M624">
        <v>52980</v>
      </c>
      <c r="N624" t="s">
        <v>16</v>
      </c>
    </row>
    <row r="625" spans="5:14" x14ac:dyDescent="0.35">
      <c r="E625" t="s">
        <v>55</v>
      </c>
      <c r="F625" t="s">
        <v>40</v>
      </c>
      <c r="G625" t="s">
        <v>36</v>
      </c>
      <c r="H625" t="s">
        <v>22</v>
      </c>
      <c r="I625" t="s">
        <v>27</v>
      </c>
      <c r="J625" t="s">
        <v>28</v>
      </c>
      <c r="K625">
        <v>9846</v>
      </c>
      <c r="L625">
        <v>3</v>
      </c>
      <c r="M625">
        <v>29538</v>
      </c>
      <c r="N625" t="s">
        <v>16</v>
      </c>
    </row>
    <row r="626" spans="5:14" x14ac:dyDescent="0.35">
      <c r="E626" t="s">
        <v>55</v>
      </c>
      <c r="F626" t="s">
        <v>41</v>
      </c>
      <c r="G626" t="s">
        <v>42</v>
      </c>
      <c r="H626" t="s">
        <v>13</v>
      </c>
      <c r="I626" t="s">
        <v>14</v>
      </c>
      <c r="J626" t="s">
        <v>15</v>
      </c>
      <c r="K626">
        <v>9869</v>
      </c>
      <c r="L626">
        <v>10</v>
      </c>
      <c r="M626">
        <v>98690</v>
      </c>
      <c r="N626" t="s">
        <v>16</v>
      </c>
    </row>
    <row r="627" spans="5:14" x14ac:dyDescent="0.35">
      <c r="E627" t="s">
        <v>55</v>
      </c>
      <c r="F627" t="s">
        <v>41</v>
      </c>
      <c r="G627" t="s">
        <v>42</v>
      </c>
      <c r="H627" t="s">
        <v>13</v>
      </c>
      <c r="I627" t="s">
        <v>14</v>
      </c>
      <c r="J627" t="s">
        <v>17</v>
      </c>
      <c r="K627">
        <v>9924</v>
      </c>
      <c r="L627">
        <v>20</v>
      </c>
      <c r="M627">
        <v>198480</v>
      </c>
      <c r="N627" t="s">
        <v>21</v>
      </c>
    </row>
    <row r="628" spans="5:14" x14ac:dyDescent="0.35">
      <c r="E628" t="s">
        <v>55</v>
      </c>
      <c r="F628" t="s">
        <v>41</v>
      </c>
      <c r="G628" t="s">
        <v>42</v>
      </c>
      <c r="H628" t="s">
        <v>13</v>
      </c>
      <c r="I628" t="s">
        <v>14</v>
      </c>
      <c r="J628" t="s">
        <v>19</v>
      </c>
      <c r="K628">
        <v>7354</v>
      </c>
      <c r="L628">
        <v>30</v>
      </c>
      <c r="M628">
        <v>220620</v>
      </c>
      <c r="N628" t="s">
        <v>18</v>
      </c>
    </row>
    <row r="629" spans="5:14" x14ac:dyDescent="0.35">
      <c r="E629" t="s">
        <v>55</v>
      </c>
      <c r="F629" t="s">
        <v>41</v>
      </c>
      <c r="G629" t="s">
        <v>42</v>
      </c>
      <c r="H629" t="s">
        <v>13</v>
      </c>
      <c r="I629" t="s">
        <v>14</v>
      </c>
      <c r="J629" t="s">
        <v>20</v>
      </c>
      <c r="K629">
        <v>10650</v>
      </c>
      <c r="L629">
        <v>15</v>
      </c>
      <c r="M629">
        <v>159750</v>
      </c>
      <c r="N629" t="s">
        <v>18</v>
      </c>
    </row>
    <row r="630" spans="5:14" x14ac:dyDescent="0.35">
      <c r="E630" t="s">
        <v>55</v>
      </c>
      <c r="F630" t="s">
        <v>41</v>
      </c>
      <c r="G630" t="s">
        <v>42</v>
      </c>
      <c r="H630" t="s">
        <v>22</v>
      </c>
      <c r="I630" t="s">
        <v>23</v>
      </c>
      <c r="J630" t="s">
        <v>24</v>
      </c>
      <c r="K630">
        <v>11634</v>
      </c>
      <c r="L630">
        <v>2</v>
      </c>
      <c r="M630">
        <v>23268</v>
      </c>
      <c r="N630" t="s">
        <v>16</v>
      </c>
    </row>
    <row r="631" spans="5:14" x14ac:dyDescent="0.35">
      <c r="E631" t="s">
        <v>55</v>
      </c>
      <c r="F631" t="s">
        <v>41</v>
      </c>
      <c r="G631" t="s">
        <v>42</v>
      </c>
      <c r="H631" t="s">
        <v>22</v>
      </c>
      <c r="I631" t="s">
        <v>23</v>
      </c>
      <c r="J631" t="s">
        <v>25</v>
      </c>
      <c r="K631">
        <v>12471</v>
      </c>
      <c r="L631">
        <v>2</v>
      </c>
      <c r="M631">
        <v>24942</v>
      </c>
      <c r="N631" t="s">
        <v>21</v>
      </c>
    </row>
    <row r="632" spans="5:14" x14ac:dyDescent="0.35">
      <c r="E632" t="s">
        <v>55</v>
      </c>
      <c r="F632" t="s">
        <v>41</v>
      </c>
      <c r="G632" t="s">
        <v>42</v>
      </c>
      <c r="H632" t="s">
        <v>22</v>
      </c>
      <c r="I632" t="s">
        <v>23</v>
      </c>
      <c r="J632" t="s">
        <v>26</v>
      </c>
      <c r="K632">
        <v>9420</v>
      </c>
      <c r="L632">
        <v>5</v>
      </c>
      <c r="M632">
        <v>47100</v>
      </c>
      <c r="N632" t="s">
        <v>21</v>
      </c>
    </row>
    <row r="633" spans="5:14" x14ac:dyDescent="0.35">
      <c r="E633" t="s">
        <v>55</v>
      </c>
      <c r="F633" t="s">
        <v>41</v>
      </c>
      <c r="G633" t="s">
        <v>42</v>
      </c>
      <c r="H633" t="s">
        <v>22</v>
      </c>
      <c r="I633" t="s">
        <v>27</v>
      </c>
      <c r="J633" t="s">
        <v>28</v>
      </c>
      <c r="K633">
        <v>8419</v>
      </c>
      <c r="L633">
        <v>3</v>
      </c>
      <c r="M633">
        <v>25257</v>
      </c>
      <c r="N633" t="s">
        <v>18</v>
      </c>
    </row>
    <row r="634" spans="5:14" x14ac:dyDescent="0.35">
      <c r="E634" t="s">
        <v>55</v>
      </c>
      <c r="F634" t="s">
        <v>43</v>
      </c>
      <c r="G634" t="s">
        <v>42</v>
      </c>
      <c r="H634" t="s">
        <v>13</v>
      </c>
      <c r="I634" t="s">
        <v>14</v>
      </c>
      <c r="J634" t="s">
        <v>15</v>
      </c>
      <c r="K634">
        <v>6143</v>
      </c>
      <c r="L634">
        <v>10</v>
      </c>
      <c r="M634">
        <v>61430</v>
      </c>
      <c r="N634" t="s">
        <v>21</v>
      </c>
    </row>
    <row r="635" spans="5:14" x14ac:dyDescent="0.35">
      <c r="E635" t="s">
        <v>55</v>
      </c>
      <c r="F635" t="s">
        <v>43</v>
      </c>
      <c r="G635" t="s">
        <v>42</v>
      </c>
      <c r="H635" t="s">
        <v>13</v>
      </c>
      <c r="I635" t="s">
        <v>14</v>
      </c>
      <c r="J635" t="s">
        <v>17</v>
      </c>
      <c r="K635">
        <v>6528</v>
      </c>
      <c r="L635">
        <v>20</v>
      </c>
      <c r="M635">
        <v>130560</v>
      </c>
      <c r="N635" t="s">
        <v>21</v>
      </c>
    </row>
    <row r="636" spans="5:14" x14ac:dyDescent="0.35">
      <c r="E636" t="s">
        <v>55</v>
      </c>
      <c r="F636" t="s">
        <v>43</v>
      </c>
      <c r="G636" t="s">
        <v>42</v>
      </c>
      <c r="H636" t="s">
        <v>13</v>
      </c>
      <c r="I636" t="s">
        <v>14</v>
      </c>
      <c r="J636" t="s">
        <v>19</v>
      </c>
      <c r="K636">
        <v>7956</v>
      </c>
      <c r="L636">
        <v>30</v>
      </c>
      <c r="M636">
        <v>238680</v>
      </c>
      <c r="N636" t="s">
        <v>16</v>
      </c>
    </row>
    <row r="637" spans="5:14" x14ac:dyDescent="0.35">
      <c r="E637" t="s">
        <v>55</v>
      </c>
      <c r="F637" t="s">
        <v>43</v>
      </c>
      <c r="G637" t="s">
        <v>42</v>
      </c>
      <c r="H637" t="s">
        <v>13</v>
      </c>
      <c r="I637" t="s">
        <v>14</v>
      </c>
      <c r="J637" t="s">
        <v>20</v>
      </c>
      <c r="K637">
        <v>13160</v>
      </c>
      <c r="L637">
        <v>15</v>
      </c>
      <c r="M637">
        <v>197400</v>
      </c>
      <c r="N637" t="s">
        <v>21</v>
      </c>
    </row>
    <row r="638" spans="5:14" x14ac:dyDescent="0.35">
      <c r="E638" t="s">
        <v>55</v>
      </c>
      <c r="F638" t="s">
        <v>43</v>
      </c>
      <c r="G638" t="s">
        <v>42</v>
      </c>
      <c r="H638" t="s">
        <v>22</v>
      </c>
      <c r="I638" t="s">
        <v>23</v>
      </c>
      <c r="J638" t="s">
        <v>24</v>
      </c>
      <c r="K638">
        <v>7691</v>
      </c>
      <c r="L638">
        <v>2</v>
      </c>
      <c r="M638">
        <v>15382</v>
      </c>
      <c r="N638" t="s">
        <v>21</v>
      </c>
    </row>
    <row r="639" spans="5:14" x14ac:dyDescent="0.35">
      <c r="E639" t="s">
        <v>55</v>
      </c>
      <c r="F639" t="s">
        <v>43</v>
      </c>
      <c r="G639" t="s">
        <v>42</v>
      </c>
      <c r="H639" t="s">
        <v>22</v>
      </c>
      <c r="I639" t="s">
        <v>23</v>
      </c>
      <c r="J639" t="s">
        <v>25</v>
      </c>
      <c r="K639">
        <v>7508</v>
      </c>
      <c r="L639">
        <v>2</v>
      </c>
      <c r="M639">
        <v>15016</v>
      </c>
      <c r="N639" t="s">
        <v>21</v>
      </c>
    </row>
    <row r="640" spans="5:14" x14ac:dyDescent="0.35">
      <c r="E640" t="s">
        <v>55</v>
      </c>
      <c r="F640" t="s">
        <v>43</v>
      </c>
      <c r="G640" t="s">
        <v>42</v>
      </c>
      <c r="H640" t="s">
        <v>22</v>
      </c>
      <c r="I640" t="s">
        <v>23</v>
      </c>
      <c r="J640" t="s">
        <v>26</v>
      </c>
      <c r="K640">
        <v>7172</v>
      </c>
      <c r="L640">
        <v>5</v>
      </c>
      <c r="M640">
        <v>35860</v>
      </c>
      <c r="N640" t="s">
        <v>21</v>
      </c>
    </row>
    <row r="641" spans="5:14" x14ac:dyDescent="0.35">
      <c r="E641" t="s">
        <v>55</v>
      </c>
      <c r="F641" t="s">
        <v>43</v>
      </c>
      <c r="G641" t="s">
        <v>42</v>
      </c>
      <c r="H641" t="s">
        <v>22</v>
      </c>
      <c r="I641" t="s">
        <v>27</v>
      </c>
      <c r="J641" t="s">
        <v>28</v>
      </c>
      <c r="K641">
        <v>7427</v>
      </c>
      <c r="L641">
        <v>3</v>
      </c>
      <c r="M641">
        <v>22281</v>
      </c>
      <c r="N641" t="s">
        <v>18</v>
      </c>
    </row>
    <row r="642" spans="5:14" x14ac:dyDescent="0.35">
      <c r="E642" t="s">
        <v>55</v>
      </c>
      <c r="F642" t="s">
        <v>44</v>
      </c>
      <c r="G642" t="s">
        <v>42</v>
      </c>
      <c r="H642" t="s">
        <v>13</v>
      </c>
      <c r="I642" t="s">
        <v>14</v>
      </c>
      <c r="J642" t="s">
        <v>15</v>
      </c>
      <c r="K642">
        <v>13521</v>
      </c>
      <c r="L642">
        <v>10</v>
      </c>
      <c r="M642">
        <v>135210</v>
      </c>
      <c r="N642" t="s">
        <v>21</v>
      </c>
    </row>
    <row r="643" spans="5:14" x14ac:dyDescent="0.35">
      <c r="E643" t="s">
        <v>55</v>
      </c>
      <c r="F643" t="s">
        <v>44</v>
      </c>
      <c r="G643" t="s">
        <v>42</v>
      </c>
      <c r="H643" t="s">
        <v>13</v>
      </c>
      <c r="I643" t="s">
        <v>14</v>
      </c>
      <c r="J643" t="s">
        <v>17</v>
      </c>
      <c r="K643">
        <v>12992</v>
      </c>
      <c r="L643">
        <v>20</v>
      </c>
      <c r="M643">
        <v>259840</v>
      </c>
      <c r="N643" t="s">
        <v>16</v>
      </c>
    </row>
    <row r="644" spans="5:14" x14ac:dyDescent="0.35">
      <c r="E644" t="s">
        <v>55</v>
      </c>
      <c r="F644" t="s">
        <v>44</v>
      </c>
      <c r="G644" t="s">
        <v>42</v>
      </c>
      <c r="H644" t="s">
        <v>13</v>
      </c>
      <c r="I644" t="s">
        <v>14</v>
      </c>
      <c r="J644" t="s">
        <v>19</v>
      </c>
      <c r="K644">
        <v>10205</v>
      </c>
      <c r="L644">
        <v>30</v>
      </c>
      <c r="M644">
        <v>306150</v>
      </c>
      <c r="N644" t="s">
        <v>18</v>
      </c>
    </row>
    <row r="645" spans="5:14" x14ac:dyDescent="0.35">
      <c r="E645" t="s">
        <v>55</v>
      </c>
      <c r="F645" t="s">
        <v>44</v>
      </c>
      <c r="G645" t="s">
        <v>42</v>
      </c>
      <c r="H645" t="s">
        <v>13</v>
      </c>
      <c r="I645" t="s">
        <v>14</v>
      </c>
      <c r="J645" t="s">
        <v>20</v>
      </c>
      <c r="K645">
        <v>10710</v>
      </c>
      <c r="L645">
        <v>15</v>
      </c>
      <c r="M645">
        <v>160650</v>
      </c>
      <c r="N645" t="s">
        <v>16</v>
      </c>
    </row>
    <row r="646" spans="5:14" x14ac:dyDescent="0.35">
      <c r="E646" t="s">
        <v>55</v>
      </c>
      <c r="F646" t="s">
        <v>44</v>
      </c>
      <c r="G646" t="s">
        <v>42</v>
      </c>
      <c r="H646" t="s">
        <v>22</v>
      </c>
      <c r="I646" t="s">
        <v>23</v>
      </c>
      <c r="J646" t="s">
        <v>24</v>
      </c>
      <c r="K646">
        <v>11230</v>
      </c>
      <c r="L646">
        <v>2</v>
      </c>
      <c r="M646">
        <v>22460</v>
      </c>
      <c r="N646" t="s">
        <v>18</v>
      </c>
    </row>
    <row r="647" spans="5:14" x14ac:dyDescent="0.35">
      <c r="E647" t="s">
        <v>55</v>
      </c>
      <c r="F647" t="s">
        <v>44</v>
      </c>
      <c r="G647" t="s">
        <v>42</v>
      </c>
      <c r="H647" t="s">
        <v>22</v>
      </c>
      <c r="I647" t="s">
        <v>23</v>
      </c>
      <c r="J647" t="s">
        <v>25</v>
      </c>
      <c r="K647">
        <v>5361</v>
      </c>
      <c r="L647">
        <v>2</v>
      </c>
      <c r="M647">
        <v>10722</v>
      </c>
      <c r="N647" t="s">
        <v>16</v>
      </c>
    </row>
    <row r="648" spans="5:14" x14ac:dyDescent="0.35">
      <c r="E648" t="s">
        <v>55</v>
      </c>
      <c r="F648" t="s">
        <v>44</v>
      </c>
      <c r="G648" t="s">
        <v>42</v>
      </c>
      <c r="H648" t="s">
        <v>22</v>
      </c>
      <c r="I648" t="s">
        <v>23</v>
      </c>
      <c r="J648" t="s">
        <v>26</v>
      </c>
      <c r="K648">
        <v>8307</v>
      </c>
      <c r="L648">
        <v>5</v>
      </c>
      <c r="M648">
        <v>41535</v>
      </c>
      <c r="N648" t="s">
        <v>21</v>
      </c>
    </row>
    <row r="649" spans="5:14" x14ac:dyDescent="0.35">
      <c r="E649" t="s">
        <v>55</v>
      </c>
      <c r="F649" t="s">
        <v>44</v>
      </c>
      <c r="G649" t="s">
        <v>42</v>
      </c>
      <c r="H649" t="s">
        <v>22</v>
      </c>
      <c r="I649" t="s">
        <v>27</v>
      </c>
      <c r="J649" t="s">
        <v>28</v>
      </c>
      <c r="K649">
        <v>14425</v>
      </c>
      <c r="L649">
        <v>3</v>
      </c>
      <c r="M649">
        <v>43275</v>
      </c>
      <c r="N649" t="s">
        <v>21</v>
      </c>
    </row>
    <row r="650" spans="5:14" x14ac:dyDescent="0.35">
      <c r="E650" t="s">
        <v>55</v>
      </c>
      <c r="F650" t="s">
        <v>45</v>
      </c>
      <c r="G650" t="s">
        <v>42</v>
      </c>
      <c r="H650" t="s">
        <v>13</v>
      </c>
      <c r="I650" t="s">
        <v>14</v>
      </c>
      <c r="J650" t="s">
        <v>15</v>
      </c>
      <c r="K650">
        <v>14060</v>
      </c>
      <c r="L650">
        <v>10</v>
      </c>
      <c r="M650">
        <v>140600</v>
      </c>
      <c r="N650" t="s">
        <v>21</v>
      </c>
    </row>
    <row r="651" spans="5:14" x14ac:dyDescent="0.35">
      <c r="E651" t="s">
        <v>55</v>
      </c>
      <c r="F651" t="s">
        <v>45</v>
      </c>
      <c r="G651" t="s">
        <v>42</v>
      </c>
      <c r="H651" t="s">
        <v>13</v>
      </c>
      <c r="I651" t="s">
        <v>14</v>
      </c>
      <c r="J651" t="s">
        <v>17</v>
      </c>
      <c r="K651">
        <v>11384</v>
      </c>
      <c r="L651">
        <v>20</v>
      </c>
      <c r="M651">
        <v>227680</v>
      </c>
      <c r="N651" t="s">
        <v>16</v>
      </c>
    </row>
    <row r="652" spans="5:14" x14ac:dyDescent="0.35">
      <c r="E652" t="s">
        <v>55</v>
      </c>
      <c r="F652" t="s">
        <v>45</v>
      </c>
      <c r="G652" t="s">
        <v>42</v>
      </c>
      <c r="H652" t="s">
        <v>13</v>
      </c>
      <c r="I652" t="s">
        <v>14</v>
      </c>
      <c r="J652" t="s">
        <v>19</v>
      </c>
      <c r="K652">
        <v>5480</v>
      </c>
      <c r="L652">
        <v>30</v>
      </c>
      <c r="M652">
        <v>164400</v>
      </c>
      <c r="N652" t="s">
        <v>18</v>
      </c>
    </row>
    <row r="653" spans="5:14" x14ac:dyDescent="0.35">
      <c r="E653" t="s">
        <v>55</v>
      </c>
      <c r="F653" t="s">
        <v>45</v>
      </c>
      <c r="G653" t="s">
        <v>42</v>
      </c>
      <c r="H653" t="s">
        <v>13</v>
      </c>
      <c r="I653" t="s">
        <v>14</v>
      </c>
      <c r="J653" t="s">
        <v>20</v>
      </c>
      <c r="K653">
        <v>10371</v>
      </c>
      <c r="L653">
        <v>15</v>
      </c>
      <c r="M653">
        <v>155565</v>
      </c>
      <c r="N653" t="s">
        <v>21</v>
      </c>
    </row>
    <row r="654" spans="5:14" x14ac:dyDescent="0.35">
      <c r="E654" t="s">
        <v>55</v>
      </c>
      <c r="F654" t="s">
        <v>45</v>
      </c>
      <c r="G654" t="s">
        <v>42</v>
      </c>
      <c r="H654" t="s">
        <v>22</v>
      </c>
      <c r="I654" t="s">
        <v>23</v>
      </c>
      <c r="J654" t="s">
        <v>24</v>
      </c>
      <c r="K654">
        <v>8871</v>
      </c>
      <c r="L654">
        <v>2</v>
      </c>
      <c r="M654">
        <v>17742</v>
      </c>
      <c r="N654" t="s">
        <v>16</v>
      </c>
    </row>
    <row r="655" spans="5:14" x14ac:dyDescent="0.35">
      <c r="E655" t="s">
        <v>55</v>
      </c>
      <c r="F655" t="s">
        <v>45</v>
      </c>
      <c r="G655" t="s">
        <v>42</v>
      </c>
      <c r="H655" t="s">
        <v>22</v>
      </c>
      <c r="I655" t="s">
        <v>23</v>
      </c>
      <c r="J655" t="s">
        <v>25</v>
      </c>
      <c r="K655">
        <v>11261</v>
      </c>
      <c r="L655">
        <v>2</v>
      </c>
      <c r="M655">
        <v>22522</v>
      </c>
      <c r="N655" t="s">
        <v>21</v>
      </c>
    </row>
    <row r="656" spans="5:14" x14ac:dyDescent="0.35">
      <c r="E656" t="s">
        <v>55</v>
      </c>
      <c r="F656" t="s">
        <v>45</v>
      </c>
      <c r="G656" t="s">
        <v>42</v>
      </c>
      <c r="H656" t="s">
        <v>22</v>
      </c>
      <c r="I656" t="s">
        <v>23</v>
      </c>
      <c r="J656" t="s">
        <v>26</v>
      </c>
      <c r="K656">
        <v>11523</v>
      </c>
      <c r="L656">
        <v>5</v>
      </c>
      <c r="M656">
        <v>57615</v>
      </c>
      <c r="N656" t="s">
        <v>21</v>
      </c>
    </row>
    <row r="657" spans="5:14" x14ac:dyDescent="0.35">
      <c r="E657" t="s">
        <v>55</v>
      </c>
      <c r="F657" t="s">
        <v>45</v>
      </c>
      <c r="G657" t="s">
        <v>42</v>
      </c>
      <c r="H657" t="s">
        <v>22</v>
      </c>
      <c r="I657" t="s">
        <v>27</v>
      </c>
      <c r="J657" t="s">
        <v>28</v>
      </c>
      <c r="K657">
        <v>8504</v>
      </c>
      <c r="L657">
        <v>3</v>
      </c>
      <c r="M657">
        <v>25512</v>
      </c>
      <c r="N657" t="s">
        <v>16</v>
      </c>
    </row>
    <row r="658" spans="5:14" x14ac:dyDescent="0.35">
      <c r="E658" t="s">
        <v>55</v>
      </c>
      <c r="F658" t="s">
        <v>46</v>
      </c>
      <c r="G658" t="s">
        <v>42</v>
      </c>
      <c r="H658" t="s">
        <v>13</v>
      </c>
      <c r="I658" t="s">
        <v>14</v>
      </c>
      <c r="J658" t="s">
        <v>15</v>
      </c>
      <c r="K658">
        <v>14184</v>
      </c>
      <c r="L658">
        <v>10</v>
      </c>
      <c r="M658">
        <v>141840</v>
      </c>
      <c r="N658" t="s">
        <v>16</v>
      </c>
    </row>
    <row r="659" spans="5:14" x14ac:dyDescent="0.35">
      <c r="E659" t="s">
        <v>55</v>
      </c>
      <c r="F659" t="s">
        <v>46</v>
      </c>
      <c r="G659" t="s">
        <v>42</v>
      </c>
      <c r="H659" t="s">
        <v>13</v>
      </c>
      <c r="I659" t="s">
        <v>14</v>
      </c>
      <c r="J659" t="s">
        <v>17</v>
      </c>
      <c r="K659">
        <v>9239</v>
      </c>
      <c r="L659">
        <v>20</v>
      </c>
      <c r="M659">
        <v>184780</v>
      </c>
      <c r="N659" t="s">
        <v>21</v>
      </c>
    </row>
    <row r="660" spans="5:14" x14ac:dyDescent="0.35">
      <c r="E660" t="s">
        <v>55</v>
      </c>
      <c r="F660" t="s">
        <v>46</v>
      </c>
      <c r="G660" t="s">
        <v>42</v>
      </c>
      <c r="H660" t="s">
        <v>13</v>
      </c>
      <c r="I660" t="s">
        <v>14</v>
      </c>
      <c r="J660" t="s">
        <v>19</v>
      </c>
      <c r="K660">
        <v>8789</v>
      </c>
      <c r="L660">
        <v>30</v>
      </c>
      <c r="M660">
        <v>263670</v>
      </c>
      <c r="N660" t="s">
        <v>16</v>
      </c>
    </row>
    <row r="661" spans="5:14" x14ac:dyDescent="0.35">
      <c r="E661" t="s">
        <v>55</v>
      </c>
      <c r="F661" t="s">
        <v>46</v>
      </c>
      <c r="G661" t="s">
        <v>42</v>
      </c>
      <c r="H661" t="s">
        <v>13</v>
      </c>
      <c r="I661" t="s">
        <v>14</v>
      </c>
      <c r="J661" t="s">
        <v>20</v>
      </c>
      <c r="K661">
        <v>14506</v>
      </c>
      <c r="L661">
        <v>15</v>
      </c>
      <c r="M661">
        <v>217590</v>
      </c>
      <c r="N661" t="s">
        <v>21</v>
      </c>
    </row>
    <row r="662" spans="5:14" x14ac:dyDescent="0.35">
      <c r="E662" t="s">
        <v>55</v>
      </c>
      <c r="F662" t="s">
        <v>46</v>
      </c>
      <c r="G662" t="s">
        <v>42</v>
      </c>
      <c r="H662" t="s">
        <v>22</v>
      </c>
      <c r="I662" t="s">
        <v>23</v>
      </c>
      <c r="J662" t="s">
        <v>24</v>
      </c>
      <c r="K662">
        <v>8764</v>
      </c>
      <c r="L662">
        <v>2</v>
      </c>
      <c r="M662">
        <v>17528</v>
      </c>
      <c r="N662" t="s">
        <v>21</v>
      </c>
    </row>
    <row r="663" spans="5:14" x14ac:dyDescent="0.35">
      <c r="E663" t="s">
        <v>55</v>
      </c>
      <c r="F663" t="s">
        <v>46</v>
      </c>
      <c r="G663" t="s">
        <v>42</v>
      </c>
      <c r="H663" t="s">
        <v>22</v>
      </c>
      <c r="I663" t="s">
        <v>23</v>
      </c>
      <c r="J663" t="s">
        <v>25</v>
      </c>
      <c r="K663">
        <v>12830</v>
      </c>
      <c r="L663">
        <v>2</v>
      </c>
      <c r="M663">
        <v>25660</v>
      </c>
      <c r="N663" t="s">
        <v>18</v>
      </c>
    </row>
    <row r="664" spans="5:14" x14ac:dyDescent="0.35">
      <c r="E664" t="s">
        <v>55</v>
      </c>
      <c r="F664" t="s">
        <v>46</v>
      </c>
      <c r="G664" t="s">
        <v>42</v>
      </c>
      <c r="H664" t="s">
        <v>22</v>
      </c>
      <c r="I664" t="s">
        <v>23</v>
      </c>
      <c r="J664" t="s">
        <v>26</v>
      </c>
      <c r="K664">
        <v>5166</v>
      </c>
      <c r="L664">
        <v>5</v>
      </c>
      <c r="M664">
        <v>25830</v>
      </c>
      <c r="N664" t="s">
        <v>16</v>
      </c>
    </row>
    <row r="665" spans="5:14" x14ac:dyDescent="0.35">
      <c r="E665" t="s">
        <v>55</v>
      </c>
      <c r="F665" t="s">
        <v>46</v>
      </c>
      <c r="G665" t="s">
        <v>42</v>
      </c>
      <c r="H665" t="s">
        <v>22</v>
      </c>
      <c r="I665" t="s">
        <v>27</v>
      </c>
      <c r="J665" t="s">
        <v>28</v>
      </c>
      <c r="K665">
        <v>5737</v>
      </c>
      <c r="L665">
        <v>3</v>
      </c>
      <c r="M665">
        <v>17211</v>
      </c>
      <c r="N665" t="s">
        <v>16</v>
      </c>
    </row>
    <row r="666" spans="5:14" x14ac:dyDescent="0.35">
      <c r="E666" t="s">
        <v>55</v>
      </c>
      <c r="F666" t="s">
        <v>47</v>
      </c>
      <c r="G666" t="s">
        <v>48</v>
      </c>
      <c r="H666" t="s">
        <v>13</v>
      </c>
      <c r="I666" t="s">
        <v>14</v>
      </c>
      <c r="J666" t="s">
        <v>15</v>
      </c>
      <c r="K666">
        <v>11192</v>
      </c>
      <c r="L666">
        <v>10</v>
      </c>
      <c r="M666">
        <v>111920</v>
      </c>
      <c r="N666" t="s">
        <v>18</v>
      </c>
    </row>
    <row r="667" spans="5:14" x14ac:dyDescent="0.35">
      <c r="E667" t="s">
        <v>55</v>
      </c>
      <c r="F667" t="s">
        <v>47</v>
      </c>
      <c r="G667" t="s">
        <v>48</v>
      </c>
      <c r="H667" t="s">
        <v>13</v>
      </c>
      <c r="I667" t="s">
        <v>14</v>
      </c>
      <c r="J667" t="s">
        <v>17</v>
      </c>
      <c r="K667">
        <v>11490</v>
      </c>
      <c r="L667">
        <v>20</v>
      </c>
      <c r="M667">
        <v>229800</v>
      </c>
      <c r="N667" t="s">
        <v>21</v>
      </c>
    </row>
    <row r="668" spans="5:14" x14ac:dyDescent="0.35">
      <c r="E668" t="s">
        <v>55</v>
      </c>
      <c r="F668" t="s">
        <v>47</v>
      </c>
      <c r="G668" t="s">
        <v>48</v>
      </c>
      <c r="H668" t="s">
        <v>13</v>
      </c>
      <c r="I668" t="s">
        <v>14</v>
      </c>
      <c r="J668" t="s">
        <v>19</v>
      </c>
      <c r="K668">
        <v>10728</v>
      </c>
      <c r="L668">
        <v>30</v>
      </c>
      <c r="M668">
        <v>321840</v>
      </c>
      <c r="N668" t="s">
        <v>21</v>
      </c>
    </row>
    <row r="669" spans="5:14" x14ac:dyDescent="0.35">
      <c r="E669" t="s">
        <v>55</v>
      </c>
      <c r="F669" t="s">
        <v>47</v>
      </c>
      <c r="G669" t="s">
        <v>48</v>
      </c>
      <c r="H669" t="s">
        <v>13</v>
      </c>
      <c r="I669" t="s">
        <v>14</v>
      </c>
      <c r="J669" t="s">
        <v>20</v>
      </c>
      <c r="K669">
        <v>6223</v>
      </c>
      <c r="L669">
        <v>15</v>
      </c>
      <c r="M669">
        <v>93345</v>
      </c>
      <c r="N669" t="s">
        <v>21</v>
      </c>
    </row>
    <row r="670" spans="5:14" x14ac:dyDescent="0.35">
      <c r="E670" t="s">
        <v>55</v>
      </c>
      <c r="F670" t="s">
        <v>47</v>
      </c>
      <c r="G670" t="s">
        <v>48</v>
      </c>
      <c r="H670" t="s">
        <v>22</v>
      </c>
      <c r="I670" t="s">
        <v>23</v>
      </c>
      <c r="J670" t="s">
        <v>24</v>
      </c>
      <c r="K670">
        <v>9710</v>
      </c>
      <c r="L670">
        <v>2</v>
      </c>
      <c r="M670">
        <v>19420</v>
      </c>
      <c r="N670" t="s">
        <v>21</v>
      </c>
    </row>
    <row r="671" spans="5:14" x14ac:dyDescent="0.35">
      <c r="E671" t="s">
        <v>55</v>
      </c>
      <c r="F671" t="s">
        <v>47</v>
      </c>
      <c r="G671" t="s">
        <v>48</v>
      </c>
      <c r="H671" t="s">
        <v>22</v>
      </c>
      <c r="I671" t="s">
        <v>23</v>
      </c>
      <c r="J671" t="s">
        <v>25</v>
      </c>
      <c r="K671">
        <v>13718</v>
      </c>
      <c r="L671">
        <v>2</v>
      </c>
      <c r="M671">
        <v>27436</v>
      </c>
      <c r="N671" t="s">
        <v>21</v>
      </c>
    </row>
    <row r="672" spans="5:14" x14ac:dyDescent="0.35">
      <c r="E672" t="s">
        <v>55</v>
      </c>
      <c r="F672" t="s">
        <v>47</v>
      </c>
      <c r="G672" t="s">
        <v>48</v>
      </c>
      <c r="H672" t="s">
        <v>22</v>
      </c>
      <c r="I672" t="s">
        <v>23</v>
      </c>
      <c r="J672" t="s">
        <v>26</v>
      </c>
      <c r="K672">
        <v>8691</v>
      </c>
      <c r="L672">
        <v>5</v>
      </c>
      <c r="M672">
        <v>43455</v>
      </c>
      <c r="N672" t="s">
        <v>18</v>
      </c>
    </row>
    <row r="673" spans="5:14" x14ac:dyDescent="0.35">
      <c r="E673" t="s">
        <v>55</v>
      </c>
      <c r="F673" t="s">
        <v>47</v>
      </c>
      <c r="G673" t="s">
        <v>48</v>
      </c>
      <c r="H673" t="s">
        <v>22</v>
      </c>
      <c r="I673" t="s">
        <v>27</v>
      </c>
      <c r="J673" t="s">
        <v>28</v>
      </c>
      <c r="K673">
        <v>12593</v>
      </c>
      <c r="L673">
        <v>3</v>
      </c>
      <c r="M673">
        <v>37779</v>
      </c>
      <c r="N673" t="s">
        <v>18</v>
      </c>
    </row>
    <row r="674" spans="5:14" x14ac:dyDescent="0.35">
      <c r="E674" t="s">
        <v>55</v>
      </c>
      <c r="F674" t="s">
        <v>49</v>
      </c>
      <c r="G674" t="s">
        <v>48</v>
      </c>
      <c r="H674" t="s">
        <v>13</v>
      </c>
      <c r="I674" t="s">
        <v>14</v>
      </c>
      <c r="J674" t="s">
        <v>15</v>
      </c>
      <c r="K674">
        <v>6940</v>
      </c>
      <c r="L674">
        <v>10</v>
      </c>
      <c r="M674">
        <v>69400</v>
      </c>
      <c r="N674" t="s">
        <v>16</v>
      </c>
    </row>
    <row r="675" spans="5:14" x14ac:dyDescent="0.35">
      <c r="E675" t="s">
        <v>55</v>
      </c>
      <c r="F675" t="s">
        <v>49</v>
      </c>
      <c r="G675" t="s">
        <v>48</v>
      </c>
      <c r="H675" t="s">
        <v>13</v>
      </c>
      <c r="I675" t="s">
        <v>14</v>
      </c>
      <c r="J675" t="s">
        <v>17</v>
      </c>
      <c r="K675">
        <v>8723</v>
      </c>
      <c r="L675">
        <v>20</v>
      </c>
      <c r="M675">
        <v>174460</v>
      </c>
      <c r="N675" t="s">
        <v>21</v>
      </c>
    </row>
    <row r="676" spans="5:14" x14ac:dyDescent="0.35">
      <c r="E676" t="s">
        <v>55</v>
      </c>
      <c r="F676" t="s">
        <v>49</v>
      </c>
      <c r="G676" t="s">
        <v>48</v>
      </c>
      <c r="H676" t="s">
        <v>13</v>
      </c>
      <c r="I676" t="s">
        <v>14</v>
      </c>
      <c r="J676" t="s">
        <v>19</v>
      </c>
      <c r="K676">
        <v>10830</v>
      </c>
      <c r="L676">
        <v>30</v>
      </c>
      <c r="M676">
        <v>324900</v>
      </c>
      <c r="N676" t="s">
        <v>16</v>
      </c>
    </row>
    <row r="677" spans="5:14" x14ac:dyDescent="0.35">
      <c r="E677" t="s">
        <v>55</v>
      </c>
      <c r="F677" t="s">
        <v>49</v>
      </c>
      <c r="G677" t="s">
        <v>48</v>
      </c>
      <c r="H677" t="s">
        <v>13</v>
      </c>
      <c r="I677" t="s">
        <v>14</v>
      </c>
      <c r="J677" t="s">
        <v>20</v>
      </c>
      <c r="K677">
        <v>6417</v>
      </c>
      <c r="L677">
        <v>15</v>
      </c>
      <c r="M677">
        <v>96255</v>
      </c>
      <c r="N677" t="s">
        <v>21</v>
      </c>
    </row>
    <row r="678" spans="5:14" x14ac:dyDescent="0.35">
      <c r="E678" t="s">
        <v>55</v>
      </c>
      <c r="F678" t="s">
        <v>49</v>
      </c>
      <c r="G678" t="s">
        <v>48</v>
      </c>
      <c r="H678" t="s">
        <v>22</v>
      </c>
      <c r="I678" t="s">
        <v>23</v>
      </c>
      <c r="J678" t="s">
        <v>24</v>
      </c>
      <c r="K678">
        <v>13595</v>
      </c>
      <c r="L678">
        <v>2</v>
      </c>
      <c r="M678">
        <v>27190</v>
      </c>
      <c r="N678" t="s">
        <v>18</v>
      </c>
    </row>
    <row r="679" spans="5:14" x14ac:dyDescent="0.35">
      <c r="E679" t="s">
        <v>55</v>
      </c>
      <c r="F679" t="s">
        <v>49</v>
      </c>
      <c r="G679" t="s">
        <v>48</v>
      </c>
      <c r="H679" t="s">
        <v>22</v>
      </c>
      <c r="I679" t="s">
        <v>23</v>
      </c>
      <c r="J679" t="s">
        <v>25</v>
      </c>
      <c r="K679">
        <v>9721</v>
      </c>
      <c r="L679">
        <v>2</v>
      </c>
      <c r="M679">
        <v>19442</v>
      </c>
      <c r="N679" t="s">
        <v>18</v>
      </c>
    </row>
    <row r="680" spans="5:14" x14ac:dyDescent="0.35">
      <c r="E680" t="s">
        <v>55</v>
      </c>
      <c r="F680" t="s">
        <v>49</v>
      </c>
      <c r="G680" t="s">
        <v>48</v>
      </c>
      <c r="H680" t="s">
        <v>22</v>
      </c>
      <c r="I680" t="s">
        <v>23</v>
      </c>
      <c r="J680" t="s">
        <v>26</v>
      </c>
      <c r="K680">
        <v>8231</v>
      </c>
      <c r="L680">
        <v>5</v>
      </c>
      <c r="M680">
        <v>41155</v>
      </c>
      <c r="N680" t="s">
        <v>18</v>
      </c>
    </row>
    <row r="681" spans="5:14" x14ac:dyDescent="0.35">
      <c r="E681" t="s">
        <v>55</v>
      </c>
      <c r="F681" t="s">
        <v>49</v>
      </c>
      <c r="G681" t="s">
        <v>48</v>
      </c>
      <c r="H681" t="s">
        <v>22</v>
      </c>
      <c r="I681" t="s">
        <v>27</v>
      </c>
      <c r="J681" t="s">
        <v>28</v>
      </c>
      <c r="K681">
        <v>14245</v>
      </c>
      <c r="L681">
        <v>3</v>
      </c>
      <c r="M681">
        <v>42735</v>
      </c>
      <c r="N681" t="s">
        <v>18</v>
      </c>
    </row>
    <row r="682" spans="5:14" x14ac:dyDescent="0.35">
      <c r="E682" t="s">
        <v>55</v>
      </c>
      <c r="F682" t="s">
        <v>50</v>
      </c>
      <c r="G682" t="s">
        <v>48</v>
      </c>
      <c r="H682" t="s">
        <v>13</v>
      </c>
      <c r="I682" t="s">
        <v>14</v>
      </c>
      <c r="J682" t="s">
        <v>15</v>
      </c>
      <c r="K682">
        <v>12832</v>
      </c>
      <c r="L682">
        <v>10</v>
      </c>
      <c r="M682">
        <v>128320</v>
      </c>
      <c r="N682" t="s">
        <v>16</v>
      </c>
    </row>
    <row r="683" spans="5:14" x14ac:dyDescent="0.35">
      <c r="E683" t="s">
        <v>55</v>
      </c>
      <c r="F683" t="s">
        <v>50</v>
      </c>
      <c r="G683" t="s">
        <v>48</v>
      </c>
      <c r="H683" t="s">
        <v>13</v>
      </c>
      <c r="I683" t="s">
        <v>14</v>
      </c>
      <c r="J683" t="s">
        <v>17</v>
      </c>
      <c r="K683">
        <v>10854</v>
      </c>
      <c r="L683">
        <v>20</v>
      </c>
      <c r="M683">
        <v>217080</v>
      </c>
      <c r="N683" t="s">
        <v>21</v>
      </c>
    </row>
    <row r="684" spans="5:14" x14ac:dyDescent="0.35">
      <c r="E684" t="s">
        <v>55</v>
      </c>
      <c r="F684" t="s">
        <v>50</v>
      </c>
      <c r="G684" t="s">
        <v>48</v>
      </c>
      <c r="H684" t="s">
        <v>13</v>
      </c>
      <c r="I684" t="s">
        <v>14</v>
      </c>
      <c r="J684" t="s">
        <v>19</v>
      </c>
      <c r="K684">
        <v>13182</v>
      </c>
      <c r="L684">
        <v>30</v>
      </c>
      <c r="M684">
        <v>395460</v>
      </c>
      <c r="N684" t="s">
        <v>16</v>
      </c>
    </row>
    <row r="685" spans="5:14" x14ac:dyDescent="0.35">
      <c r="E685" t="s">
        <v>55</v>
      </c>
      <c r="F685" t="s">
        <v>50</v>
      </c>
      <c r="G685" t="s">
        <v>48</v>
      </c>
      <c r="H685" t="s">
        <v>13</v>
      </c>
      <c r="I685" t="s">
        <v>14</v>
      </c>
      <c r="J685" t="s">
        <v>20</v>
      </c>
      <c r="K685">
        <v>9531</v>
      </c>
      <c r="L685">
        <v>15</v>
      </c>
      <c r="M685">
        <v>142965</v>
      </c>
      <c r="N685" t="s">
        <v>18</v>
      </c>
    </row>
    <row r="686" spans="5:14" x14ac:dyDescent="0.35">
      <c r="E686" t="s">
        <v>55</v>
      </c>
      <c r="F686" t="s">
        <v>50</v>
      </c>
      <c r="G686" t="s">
        <v>48</v>
      </c>
      <c r="H686" t="s">
        <v>22</v>
      </c>
      <c r="I686" t="s">
        <v>23</v>
      </c>
      <c r="J686" t="s">
        <v>24</v>
      </c>
      <c r="K686">
        <v>10599</v>
      </c>
      <c r="L686">
        <v>2</v>
      </c>
      <c r="M686">
        <v>21198</v>
      </c>
      <c r="N686" t="s">
        <v>18</v>
      </c>
    </row>
    <row r="687" spans="5:14" x14ac:dyDescent="0.35">
      <c r="E687" t="s">
        <v>55</v>
      </c>
      <c r="F687" t="s">
        <v>50</v>
      </c>
      <c r="G687" t="s">
        <v>48</v>
      </c>
      <c r="H687" t="s">
        <v>22</v>
      </c>
      <c r="I687" t="s">
        <v>23</v>
      </c>
      <c r="J687" t="s">
        <v>25</v>
      </c>
      <c r="K687">
        <v>12789</v>
      </c>
      <c r="L687">
        <v>2</v>
      </c>
      <c r="M687">
        <v>25578</v>
      </c>
      <c r="N687" t="s">
        <v>16</v>
      </c>
    </row>
    <row r="688" spans="5:14" x14ac:dyDescent="0.35">
      <c r="E688" t="s">
        <v>55</v>
      </c>
      <c r="F688" t="s">
        <v>50</v>
      </c>
      <c r="G688" t="s">
        <v>48</v>
      </c>
      <c r="H688" t="s">
        <v>22</v>
      </c>
      <c r="I688" t="s">
        <v>23</v>
      </c>
      <c r="J688" t="s">
        <v>26</v>
      </c>
      <c r="K688">
        <v>8610</v>
      </c>
      <c r="L688">
        <v>5</v>
      </c>
      <c r="M688">
        <v>43050</v>
      </c>
      <c r="N688" t="s">
        <v>21</v>
      </c>
    </row>
    <row r="689" spans="5:14" x14ac:dyDescent="0.35">
      <c r="E689" t="s">
        <v>55</v>
      </c>
      <c r="F689" t="s">
        <v>50</v>
      </c>
      <c r="G689" t="s">
        <v>48</v>
      </c>
      <c r="H689" t="s">
        <v>22</v>
      </c>
      <c r="I689" t="s">
        <v>27</v>
      </c>
      <c r="J689" t="s">
        <v>28</v>
      </c>
      <c r="K689">
        <v>11975</v>
      </c>
      <c r="L689">
        <v>3</v>
      </c>
      <c r="M689">
        <v>35925</v>
      </c>
      <c r="N689" t="s">
        <v>21</v>
      </c>
    </row>
    <row r="690" spans="5:14" x14ac:dyDescent="0.35">
      <c r="E690" t="s">
        <v>55</v>
      </c>
      <c r="F690" t="s">
        <v>51</v>
      </c>
      <c r="G690" t="s">
        <v>48</v>
      </c>
      <c r="H690" t="s">
        <v>13</v>
      </c>
      <c r="I690" t="s">
        <v>14</v>
      </c>
      <c r="J690" t="s">
        <v>15</v>
      </c>
      <c r="K690">
        <v>13324</v>
      </c>
      <c r="L690">
        <v>10</v>
      </c>
      <c r="M690">
        <v>133240</v>
      </c>
      <c r="N690" t="s">
        <v>16</v>
      </c>
    </row>
    <row r="691" spans="5:14" x14ac:dyDescent="0.35">
      <c r="E691" t="s">
        <v>55</v>
      </c>
      <c r="F691" t="s">
        <v>51</v>
      </c>
      <c r="G691" t="s">
        <v>48</v>
      </c>
      <c r="H691" t="s">
        <v>13</v>
      </c>
      <c r="I691" t="s">
        <v>14</v>
      </c>
      <c r="J691" t="s">
        <v>17</v>
      </c>
      <c r="K691">
        <v>14838</v>
      </c>
      <c r="L691">
        <v>20</v>
      </c>
      <c r="M691">
        <v>296760</v>
      </c>
      <c r="N691" t="s">
        <v>18</v>
      </c>
    </row>
    <row r="692" spans="5:14" x14ac:dyDescent="0.35">
      <c r="E692" t="s">
        <v>55</v>
      </c>
      <c r="F692" t="s">
        <v>51</v>
      </c>
      <c r="G692" t="s">
        <v>48</v>
      </c>
      <c r="H692" t="s">
        <v>13</v>
      </c>
      <c r="I692" t="s">
        <v>14</v>
      </c>
      <c r="J692" t="s">
        <v>19</v>
      </c>
      <c r="K692">
        <v>13495</v>
      </c>
      <c r="L692">
        <v>30</v>
      </c>
      <c r="M692">
        <v>404850</v>
      </c>
      <c r="N692" t="s">
        <v>18</v>
      </c>
    </row>
    <row r="693" spans="5:14" x14ac:dyDescent="0.35">
      <c r="E693" t="s">
        <v>55</v>
      </c>
      <c r="F693" t="s">
        <v>51</v>
      </c>
      <c r="G693" t="s">
        <v>48</v>
      </c>
      <c r="H693" t="s">
        <v>13</v>
      </c>
      <c r="I693" t="s">
        <v>14</v>
      </c>
      <c r="J693" t="s">
        <v>20</v>
      </c>
      <c r="K693">
        <v>13482</v>
      </c>
      <c r="L693">
        <v>15</v>
      </c>
      <c r="M693">
        <v>202230</v>
      </c>
      <c r="N693" t="s">
        <v>18</v>
      </c>
    </row>
    <row r="694" spans="5:14" x14ac:dyDescent="0.35">
      <c r="E694" t="s">
        <v>55</v>
      </c>
      <c r="F694" t="s">
        <v>51</v>
      </c>
      <c r="G694" t="s">
        <v>48</v>
      </c>
      <c r="H694" t="s">
        <v>22</v>
      </c>
      <c r="I694" t="s">
        <v>23</v>
      </c>
      <c r="J694" t="s">
        <v>24</v>
      </c>
      <c r="K694">
        <v>11270</v>
      </c>
      <c r="L694">
        <v>2</v>
      </c>
      <c r="M694">
        <v>22540</v>
      </c>
      <c r="N694" t="s">
        <v>16</v>
      </c>
    </row>
    <row r="695" spans="5:14" x14ac:dyDescent="0.35">
      <c r="E695" t="s">
        <v>55</v>
      </c>
      <c r="F695" t="s">
        <v>51</v>
      </c>
      <c r="G695" t="s">
        <v>48</v>
      </c>
      <c r="H695" t="s">
        <v>22</v>
      </c>
      <c r="I695" t="s">
        <v>23</v>
      </c>
      <c r="J695" t="s">
        <v>25</v>
      </c>
      <c r="K695">
        <v>9712</v>
      </c>
      <c r="L695">
        <v>2</v>
      </c>
      <c r="M695">
        <v>19424</v>
      </c>
      <c r="N695" t="s">
        <v>16</v>
      </c>
    </row>
    <row r="696" spans="5:14" x14ac:dyDescent="0.35">
      <c r="E696" t="s">
        <v>55</v>
      </c>
      <c r="F696" t="s">
        <v>51</v>
      </c>
      <c r="G696" t="s">
        <v>48</v>
      </c>
      <c r="H696" t="s">
        <v>22</v>
      </c>
      <c r="I696" t="s">
        <v>23</v>
      </c>
      <c r="J696" t="s">
        <v>26</v>
      </c>
      <c r="K696">
        <v>13319</v>
      </c>
      <c r="L696">
        <v>5</v>
      </c>
      <c r="M696">
        <v>66595</v>
      </c>
      <c r="N696" t="s">
        <v>16</v>
      </c>
    </row>
    <row r="697" spans="5:14" x14ac:dyDescent="0.35">
      <c r="E697" t="s">
        <v>55</v>
      </c>
      <c r="F697" t="s">
        <v>51</v>
      </c>
      <c r="G697" t="s">
        <v>48</v>
      </c>
      <c r="H697" t="s">
        <v>22</v>
      </c>
      <c r="I697" t="s">
        <v>27</v>
      </c>
      <c r="J697" t="s">
        <v>28</v>
      </c>
      <c r="K697">
        <v>13738</v>
      </c>
      <c r="L697">
        <v>3</v>
      </c>
      <c r="M697">
        <v>41214</v>
      </c>
      <c r="N697" t="s">
        <v>21</v>
      </c>
    </row>
    <row r="698" spans="5:14" x14ac:dyDescent="0.35">
      <c r="E698" t="s">
        <v>55</v>
      </c>
      <c r="F698" t="s">
        <v>52</v>
      </c>
      <c r="G698" t="s">
        <v>48</v>
      </c>
      <c r="H698" t="s">
        <v>13</v>
      </c>
      <c r="I698" t="s">
        <v>14</v>
      </c>
      <c r="J698" t="s">
        <v>15</v>
      </c>
      <c r="K698">
        <v>5751</v>
      </c>
      <c r="L698">
        <v>10</v>
      </c>
      <c r="M698">
        <v>57510</v>
      </c>
      <c r="N698" t="s">
        <v>21</v>
      </c>
    </row>
    <row r="699" spans="5:14" x14ac:dyDescent="0.35">
      <c r="E699" t="s">
        <v>55</v>
      </c>
      <c r="F699" t="s">
        <v>52</v>
      </c>
      <c r="G699" t="s">
        <v>48</v>
      </c>
      <c r="H699" t="s">
        <v>13</v>
      </c>
      <c r="I699" t="s">
        <v>14</v>
      </c>
      <c r="J699" t="s">
        <v>17</v>
      </c>
      <c r="K699">
        <v>11265</v>
      </c>
      <c r="L699">
        <v>20</v>
      </c>
      <c r="M699">
        <v>225300</v>
      </c>
      <c r="N699" t="s">
        <v>21</v>
      </c>
    </row>
    <row r="700" spans="5:14" x14ac:dyDescent="0.35">
      <c r="E700" t="s">
        <v>55</v>
      </c>
      <c r="F700" t="s">
        <v>52</v>
      </c>
      <c r="G700" t="s">
        <v>48</v>
      </c>
      <c r="H700" t="s">
        <v>13</v>
      </c>
      <c r="I700" t="s">
        <v>14</v>
      </c>
      <c r="J700" t="s">
        <v>19</v>
      </c>
      <c r="K700">
        <v>6513</v>
      </c>
      <c r="L700">
        <v>30</v>
      </c>
      <c r="M700">
        <v>195390</v>
      </c>
      <c r="N700" t="s">
        <v>18</v>
      </c>
    </row>
    <row r="701" spans="5:14" x14ac:dyDescent="0.35">
      <c r="E701" t="s">
        <v>55</v>
      </c>
      <c r="F701" t="s">
        <v>52</v>
      </c>
      <c r="G701" t="s">
        <v>48</v>
      </c>
      <c r="H701" t="s">
        <v>13</v>
      </c>
      <c r="I701" t="s">
        <v>14</v>
      </c>
      <c r="J701" t="s">
        <v>20</v>
      </c>
      <c r="K701">
        <v>7703</v>
      </c>
      <c r="L701">
        <v>15</v>
      </c>
      <c r="M701">
        <v>115545</v>
      </c>
      <c r="N701" t="s">
        <v>16</v>
      </c>
    </row>
    <row r="702" spans="5:14" x14ac:dyDescent="0.35">
      <c r="E702" t="s">
        <v>55</v>
      </c>
      <c r="F702" t="s">
        <v>52</v>
      </c>
      <c r="G702" t="s">
        <v>48</v>
      </c>
      <c r="H702" t="s">
        <v>22</v>
      </c>
      <c r="I702" t="s">
        <v>23</v>
      </c>
      <c r="J702" t="s">
        <v>24</v>
      </c>
      <c r="K702">
        <v>9485</v>
      </c>
      <c r="L702">
        <v>2</v>
      </c>
      <c r="M702">
        <v>18970</v>
      </c>
      <c r="N702" t="s">
        <v>16</v>
      </c>
    </row>
    <row r="703" spans="5:14" x14ac:dyDescent="0.35">
      <c r="E703" t="s">
        <v>55</v>
      </c>
      <c r="F703" t="s">
        <v>52</v>
      </c>
      <c r="G703" t="s">
        <v>48</v>
      </c>
      <c r="H703" t="s">
        <v>22</v>
      </c>
      <c r="I703" t="s">
        <v>23</v>
      </c>
      <c r="J703" t="s">
        <v>25</v>
      </c>
      <c r="K703">
        <v>8203</v>
      </c>
      <c r="L703">
        <v>2</v>
      </c>
      <c r="M703">
        <v>16406</v>
      </c>
      <c r="N703" t="s">
        <v>16</v>
      </c>
    </row>
    <row r="704" spans="5:14" x14ac:dyDescent="0.35">
      <c r="E704" t="s">
        <v>55</v>
      </c>
      <c r="F704" t="s">
        <v>52</v>
      </c>
      <c r="G704" t="s">
        <v>48</v>
      </c>
      <c r="H704" t="s">
        <v>22</v>
      </c>
      <c r="I704" t="s">
        <v>23</v>
      </c>
      <c r="J704" t="s">
        <v>26</v>
      </c>
      <c r="K704">
        <v>13833</v>
      </c>
      <c r="L704">
        <v>5</v>
      </c>
      <c r="M704">
        <v>69165</v>
      </c>
      <c r="N704" t="s">
        <v>21</v>
      </c>
    </row>
    <row r="705" spans="5:14" x14ac:dyDescent="0.35">
      <c r="E705" t="s">
        <v>55</v>
      </c>
      <c r="F705" t="s">
        <v>52</v>
      </c>
      <c r="G705" t="s">
        <v>48</v>
      </c>
      <c r="H705" t="s">
        <v>22</v>
      </c>
      <c r="I705" t="s">
        <v>27</v>
      </c>
      <c r="J705" t="s">
        <v>28</v>
      </c>
      <c r="K705">
        <v>14322</v>
      </c>
      <c r="L705">
        <v>3</v>
      </c>
      <c r="M705">
        <v>42966</v>
      </c>
      <c r="N705" t="s">
        <v>21</v>
      </c>
    </row>
    <row r="706" spans="5:14" x14ac:dyDescent="0.35">
      <c r="E706" t="s">
        <v>56</v>
      </c>
      <c r="F706" t="s">
        <v>11</v>
      </c>
      <c r="G706" t="s">
        <v>12</v>
      </c>
      <c r="H706" t="s">
        <v>13</v>
      </c>
      <c r="I706" t="s">
        <v>14</v>
      </c>
      <c r="J706" t="s">
        <v>15</v>
      </c>
      <c r="K706">
        <v>13708</v>
      </c>
      <c r="L706">
        <v>10</v>
      </c>
      <c r="M706">
        <v>137080</v>
      </c>
      <c r="N706" t="s">
        <v>21</v>
      </c>
    </row>
    <row r="707" spans="5:14" x14ac:dyDescent="0.35">
      <c r="E707" t="s">
        <v>56</v>
      </c>
      <c r="F707" t="s">
        <v>11</v>
      </c>
      <c r="G707" t="s">
        <v>12</v>
      </c>
      <c r="H707" t="s">
        <v>13</v>
      </c>
      <c r="I707" t="s">
        <v>14</v>
      </c>
      <c r="J707" t="s">
        <v>17</v>
      </c>
      <c r="K707">
        <v>6451</v>
      </c>
      <c r="L707">
        <v>20</v>
      </c>
      <c r="M707">
        <v>129020</v>
      </c>
      <c r="N707" t="s">
        <v>16</v>
      </c>
    </row>
    <row r="708" spans="5:14" x14ac:dyDescent="0.35">
      <c r="E708" t="s">
        <v>56</v>
      </c>
      <c r="F708" t="s">
        <v>11</v>
      </c>
      <c r="G708" t="s">
        <v>12</v>
      </c>
      <c r="H708" t="s">
        <v>13</v>
      </c>
      <c r="I708" t="s">
        <v>14</v>
      </c>
      <c r="J708" t="s">
        <v>19</v>
      </c>
      <c r="K708">
        <v>7728</v>
      </c>
      <c r="L708">
        <v>30</v>
      </c>
      <c r="M708">
        <v>231840</v>
      </c>
      <c r="N708" t="s">
        <v>18</v>
      </c>
    </row>
    <row r="709" spans="5:14" x14ac:dyDescent="0.35">
      <c r="E709" t="s">
        <v>56</v>
      </c>
      <c r="F709" t="s">
        <v>11</v>
      </c>
      <c r="G709" t="s">
        <v>12</v>
      </c>
      <c r="H709" t="s">
        <v>13</v>
      </c>
      <c r="I709" t="s">
        <v>14</v>
      </c>
      <c r="J709" t="s">
        <v>20</v>
      </c>
      <c r="K709">
        <v>6951</v>
      </c>
      <c r="L709">
        <v>15</v>
      </c>
      <c r="M709">
        <v>104265</v>
      </c>
      <c r="N709" t="s">
        <v>18</v>
      </c>
    </row>
    <row r="710" spans="5:14" x14ac:dyDescent="0.35">
      <c r="E710" t="s">
        <v>56</v>
      </c>
      <c r="F710" t="s">
        <v>11</v>
      </c>
      <c r="G710" t="s">
        <v>12</v>
      </c>
      <c r="H710" t="s">
        <v>22</v>
      </c>
      <c r="I710" t="s">
        <v>23</v>
      </c>
      <c r="J710" t="s">
        <v>24</v>
      </c>
      <c r="K710">
        <v>13047</v>
      </c>
      <c r="L710">
        <v>2</v>
      </c>
      <c r="M710">
        <v>26094</v>
      </c>
      <c r="N710" t="s">
        <v>21</v>
      </c>
    </row>
    <row r="711" spans="5:14" x14ac:dyDescent="0.35">
      <c r="E711" t="s">
        <v>56</v>
      </c>
      <c r="F711" t="s">
        <v>11</v>
      </c>
      <c r="G711" t="s">
        <v>12</v>
      </c>
      <c r="H711" t="s">
        <v>22</v>
      </c>
      <c r="I711" t="s">
        <v>23</v>
      </c>
      <c r="J711" t="s">
        <v>25</v>
      </c>
      <c r="K711">
        <v>17909</v>
      </c>
      <c r="L711">
        <v>2</v>
      </c>
      <c r="M711">
        <v>35818</v>
      </c>
      <c r="N711" t="s">
        <v>18</v>
      </c>
    </row>
    <row r="712" spans="5:14" x14ac:dyDescent="0.35">
      <c r="E712" t="s">
        <v>56</v>
      </c>
      <c r="F712" t="s">
        <v>11</v>
      </c>
      <c r="G712" t="s">
        <v>12</v>
      </c>
      <c r="H712" t="s">
        <v>22</v>
      </c>
      <c r="I712" t="s">
        <v>23</v>
      </c>
      <c r="J712" t="s">
        <v>26</v>
      </c>
      <c r="K712">
        <v>15407</v>
      </c>
      <c r="L712">
        <v>5</v>
      </c>
      <c r="M712">
        <v>77035</v>
      </c>
      <c r="N712" t="s">
        <v>21</v>
      </c>
    </row>
    <row r="713" spans="5:14" x14ac:dyDescent="0.35">
      <c r="E713" t="s">
        <v>56</v>
      </c>
      <c r="F713" t="s">
        <v>11</v>
      </c>
      <c r="G713" t="s">
        <v>12</v>
      </c>
      <c r="H713" t="s">
        <v>22</v>
      </c>
      <c r="I713" t="s">
        <v>27</v>
      </c>
      <c r="J713" t="s">
        <v>28</v>
      </c>
      <c r="K713">
        <v>11549</v>
      </c>
      <c r="L713">
        <v>3</v>
      </c>
      <c r="M713">
        <v>34647</v>
      </c>
      <c r="N713" t="s">
        <v>16</v>
      </c>
    </row>
    <row r="714" spans="5:14" x14ac:dyDescent="0.35">
      <c r="E714" t="s">
        <v>56</v>
      </c>
      <c r="F714" t="s">
        <v>29</v>
      </c>
      <c r="G714" t="s">
        <v>12</v>
      </c>
      <c r="H714" t="s">
        <v>13</v>
      </c>
      <c r="I714" t="s">
        <v>14</v>
      </c>
      <c r="J714" t="s">
        <v>15</v>
      </c>
      <c r="K714">
        <v>5614</v>
      </c>
      <c r="L714">
        <v>10</v>
      </c>
      <c r="M714">
        <v>56140</v>
      </c>
      <c r="N714" t="s">
        <v>21</v>
      </c>
    </row>
    <row r="715" spans="5:14" x14ac:dyDescent="0.35">
      <c r="E715" t="s">
        <v>56</v>
      </c>
      <c r="F715" t="s">
        <v>29</v>
      </c>
      <c r="G715" t="s">
        <v>12</v>
      </c>
      <c r="H715" t="s">
        <v>13</v>
      </c>
      <c r="I715" t="s">
        <v>14</v>
      </c>
      <c r="J715" t="s">
        <v>17</v>
      </c>
      <c r="K715">
        <v>12043</v>
      </c>
      <c r="L715">
        <v>20</v>
      </c>
      <c r="M715">
        <v>240860</v>
      </c>
      <c r="N715" t="s">
        <v>18</v>
      </c>
    </row>
    <row r="716" spans="5:14" x14ac:dyDescent="0.35">
      <c r="E716" t="s">
        <v>56</v>
      </c>
      <c r="F716" t="s">
        <v>29</v>
      </c>
      <c r="G716" t="s">
        <v>12</v>
      </c>
      <c r="H716" t="s">
        <v>13</v>
      </c>
      <c r="I716" t="s">
        <v>14</v>
      </c>
      <c r="J716" t="s">
        <v>19</v>
      </c>
      <c r="K716">
        <v>10464</v>
      </c>
      <c r="L716">
        <v>30</v>
      </c>
      <c r="M716">
        <v>313920</v>
      </c>
      <c r="N716" t="s">
        <v>21</v>
      </c>
    </row>
    <row r="717" spans="5:14" x14ac:dyDescent="0.35">
      <c r="E717" t="s">
        <v>56</v>
      </c>
      <c r="F717" t="s">
        <v>29</v>
      </c>
      <c r="G717" t="s">
        <v>12</v>
      </c>
      <c r="H717" t="s">
        <v>13</v>
      </c>
      <c r="I717" t="s">
        <v>14</v>
      </c>
      <c r="J717" t="s">
        <v>20</v>
      </c>
      <c r="K717">
        <v>11435</v>
      </c>
      <c r="L717">
        <v>15</v>
      </c>
      <c r="M717">
        <v>171525</v>
      </c>
      <c r="N717" t="s">
        <v>16</v>
      </c>
    </row>
    <row r="718" spans="5:14" x14ac:dyDescent="0.35">
      <c r="E718" t="s">
        <v>56</v>
      </c>
      <c r="F718" t="s">
        <v>29</v>
      </c>
      <c r="G718" t="s">
        <v>12</v>
      </c>
      <c r="H718" t="s">
        <v>22</v>
      </c>
      <c r="I718" t="s">
        <v>23</v>
      </c>
      <c r="J718" t="s">
        <v>24</v>
      </c>
      <c r="K718">
        <v>17893</v>
      </c>
      <c r="L718">
        <v>2</v>
      </c>
      <c r="M718">
        <v>35786</v>
      </c>
      <c r="N718" t="s">
        <v>18</v>
      </c>
    </row>
    <row r="719" spans="5:14" x14ac:dyDescent="0.35">
      <c r="E719" t="s">
        <v>56</v>
      </c>
      <c r="F719" t="s">
        <v>29</v>
      </c>
      <c r="G719" t="s">
        <v>12</v>
      </c>
      <c r="H719" t="s">
        <v>22</v>
      </c>
      <c r="I719" t="s">
        <v>23</v>
      </c>
      <c r="J719" t="s">
        <v>25</v>
      </c>
      <c r="K719">
        <v>12273</v>
      </c>
      <c r="L719">
        <v>2</v>
      </c>
      <c r="M719">
        <v>24546</v>
      </c>
      <c r="N719" t="s">
        <v>18</v>
      </c>
    </row>
    <row r="720" spans="5:14" x14ac:dyDescent="0.35">
      <c r="E720" t="s">
        <v>56</v>
      </c>
      <c r="F720" t="s">
        <v>29</v>
      </c>
      <c r="G720" t="s">
        <v>12</v>
      </c>
      <c r="H720" t="s">
        <v>22</v>
      </c>
      <c r="I720" t="s">
        <v>23</v>
      </c>
      <c r="J720" t="s">
        <v>26</v>
      </c>
      <c r="K720">
        <v>15431</v>
      </c>
      <c r="L720">
        <v>5</v>
      </c>
      <c r="M720">
        <v>77155</v>
      </c>
      <c r="N720" t="s">
        <v>18</v>
      </c>
    </row>
    <row r="721" spans="5:14" x14ac:dyDescent="0.35">
      <c r="E721" t="s">
        <v>56</v>
      </c>
      <c r="F721" t="s">
        <v>29</v>
      </c>
      <c r="G721" t="s">
        <v>12</v>
      </c>
      <c r="H721" t="s">
        <v>22</v>
      </c>
      <c r="I721" t="s">
        <v>27</v>
      </c>
      <c r="J721" t="s">
        <v>28</v>
      </c>
      <c r="K721">
        <v>18115</v>
      </c>
      <c r="L721">
        <v>3</v>
      </c>
      <c r="M721">
        <v>54345</v>
      </c>
      <c r="N721" t="s">
        <v>21</v>
      </c>
    </row>
    <row r="722" spans="5:14" x14ac:dyDescent="0.35">
      <c r="E722" t="s">
        <v>56</v>
      </c>
      <c r="F722" t="s">
        <v>30</v>
      </c>
      <c r="G722" t="s">
        <v>12</v>
      </c>
      <c r="H722" t="s">
        <v>13</v>
      </c>
      <c r="I722" t="s">
        <v>14</v>
      </c>
      <c r="J722" t="s">
        <v>15</v>
      </c>
      <c r="K722">
        <v>11128</v>
      </c>
      <c r="L722">
        <v>10</v>
      </c>
      <c r="M722">
        <v>111280</v>
      </c>
      <c r="N722" t="s">
        <v>16</v>
      </c>
    </row>
    <row r="723" spans="5:14" x14ac:dyDescent="0.35">
      <c r="E723" t="s">
        <v>56</v>
      </c>
      <c r="F723" t="s">
        <v>30</v>
      </c>
      <c r="G723" t="s">
        <v>12</v>
      </c>
      <c r="H723" t="s">
        <v>13</v>
      </c>
      <c r="I723" t="s">
        <v>14</v>
      </c>
      <c r="J723" t="s">
        <v>17</v>
      </c>
      <c r="K723">
        <v>7916</v>
      </c>
      <c r="L723">
        <v>20</v>
      </c>
      <c r="M723">
        <v>158320</v>
      </c>
      <c r="N723" t="s">
        <v>16</v>
      </c>
    </row>
    <row r="724" spans="5:14" x14ac:dyDescent="0.35">
      <c r="E724" t="s">
        <v>56</v>
      </c>
      <c r="F724" t="s">
        <v>30</v>
      </c>
      <c r="G724" t="s">
        <v>12</v>
      </c>
      <c r="H724" t="s">
        <v>13</v>
      </c>
      <c r="I724" t="s">
        <v>14</v>
      </c>
      <c r="J724" t="s">
        <v>19</v>
      </c>
      <c r="K724">
        <v>7943</v>
      </c>
      <c r="L724">
        <v>30</v>
      </c>
      <c r="M724">
        <v>238290</v>
      </c>
      <c r="N724" t="s">
        <v>18</v>
      </c>
    </row>
    <row r="725" spans="5:14" x14ac:dyDescent="0.35">
      <c r="E725" t="s">
        <v>56</v>
      </c>
      <c r="F725" t="s">
        <v>30</v>
      </c>
      <c r="G725" t="s">
        <v>12</v>
      </c>
      <c r="H725" t="s">
        <v>13</v>
      </c>
      <c r="I725" t="s">
        <v>14</v>
      </c>
      <c r="J725" t="s">
        <v>20</v>
      </c>
      <c r="K725">
        <v>7412</v>
      </c>
      <c r="L725">
        <v>15</v>
      </c>
      <c r="M725">
        <v>111180</v>
      </c>
      <c r="N725" t="s">
        <v>18</v>
      </c>
    </row>
    <row r="726" spans="5:14" x14ac:dyDescent="0.35">
      <c r="E726" t="s">
        <v>56</v>
      </c>
      <c r="F726" t="s">
        <v>30</v>
      </c>
      <c r="G726" t="s">
        <v>12</v>
      </c>
      <c r="H726" t="s">
        <v>22</v>
      </c>
      <c r="I726" t="s">
        <v>23</v>
      </c>
      <c r="J726" t="s">
        <v>24</v>
      </c>
      <c r="K726">
        <v>7966</v>
      </c>
      <c r="L726">
        <v>2</v>
      </c>
      <c r="M726">
        <v>15932</v>
      </c>
      <c r="N726" t="s">
        <v>16</v>
      </c>
    </row>
    <row r="727" spans="5:14" x14ac:dyDescent="0.35">
      <c r="E727" t="s">
        <v>56</v>
      </c>
      <c r="F727" t="s">
        <v>30</v>
      </c>
      <c r="G727" t="s">
        <v>12</v>
      </c>
      <c r="H727" t="s">
        <v>22</v>
      </c>
      <c r="I727" t="s">
        <v>23</v>
      </c>
      <c r="J727" t="s">
        <v>25</v>
      </c>
      <c r="K727">
        <v>15062</v>
      </c>
      <c r="L727">
        <v>2</v>
      </c>
      <c r="M727">
        <v>30124</v>
      </c>
      <c r="N727" t="s">
        <v>18</v>
      </c>
    </row>
    <row r="728" spans="5:14" x14ac:dyDescent="0.35">
      <c r="E728" t="s">
        <v>56</v>
      </c>
      <c r="F728" t="s">
        <v>30</v>
      </c>
      <c r="G728" t="s">
        <v>12</v>
      </c>
      <c r="H728" t="s">
        <v>22</v>
      </c>
      <c r="I728" t="s">
        <v>23</v>
      </c>
      <c r="J728" t="s">
        <v>26</v>
      </c>
      <c r="K728">
        <v>8711</v>
      </c>
      <c r="L728">
        <v>5</v>
      </c>
      <c r="M728">
        <v>43555</v>
      </c>
      <c r="N728" t="s">
        <v>16</v>
      </c>
    </row>
    <row r="729" spans="5:14" x14ac:dyDescent="0.35">
      <c r="E729" t="s">
        <v>56</v>
      </c>
      <c r="F729" t="s">
        <v>30</v>
      </c>
      <c r="G729" t="s">
        <v>12</v>
      </c>
      <c r="H729" t="s">
        <v>22</v>
      </c>
      <c r="I729" t="s">
        <v>27</v>
      </c>
      <c r="J729" t="s">
        <v>28</v>
      </c>
      <c r="K729">
        <v>10545</v>
      </c>
      <c r="L729">
        <v>3</v>
      </c>
      <c r="M729">
        <v>31635</v>
      </c>
      <c r="N729" t="s">
        <v>18</v>
      </c>
    </row>
    <row r="730" spans="5:14" x14ac:dyDescent="0.35">
      <c r="E730" t="s">
        <v>56</v>
      </c>
      <c r="F730" t="s">
        <v>31</v>
      </c>
      <c r="G730" t="s">
        <v>12</v>
      </c>
      <c r="H730" t="s">
        <v>13</v>
      </c>
      <c r="I730" t="s">
        <v>14</v>
      </c>
      <c r="J730" t="s">
        <v>15</v>
      </c>
      <c r="K730">
        <v>13065</v>
      </c>
      <c r="L730">
        <v>10</v>
      </c>
      <c r="M730">
        <v>130650</v>
      </c>
      <c r="N730" t="s">
        <v>21</v>
      </c>
    </row>
    <row r="731" spans="5:14" x14ac:dyDescent="0.35">
      <c r="E731" t="s">
        <v>56</v>
      </c>
      <c r="F731" t="s">
        <v>31</v>
      </c>
      <c r="G731" t="s">
        <v>12</v>
      </c>
      <c r="H731" t="s">
        <v>13</v>
      </c>
      <c r="I731" t="s">
        <v>14</v>
      </c>
      <c r="J731" t="s">
        <v>17</v>
      </c>
      <c r="K731">
        <v>9563</v>
      </c>
      <c r="L731">
        <v>20</v>
      </c>
      <c r="M731">
        <v>191260</v>
      </c>
      <c r="N731" t="s">
        <v>21</v>
      </c>
    </row>
    <row r="732" spans="5:14" x14ac:dyDescent="0.35">
      <c r="E732" t="s">
        <v>56</v>
      </c>
      <c r="F732" t="s">
        <v>31</v>
      </c>
      <c r="G732" t="s">
        <v>12</v>
      </c>
      <c r="H732" t="s">
        <v>13</v>
      </c>
      <c r="I732" t="s">
        <v>14</v>
      </c>
      <c r="J732" t="s">
        <v>19</v>
      </c>
      <c r="K732">
        <v>11330</v>
      </c>
      <c r="L732">
        <v>30</v>
      </c>
      <c r="M732">
        <v>339900</v>
      </c>
      <c r="N732" t="s">
        <v>21</v>
      </c>
    </row>
    <row r="733" spans="5:14" x14ac:dyDescent="0.35">
      <c r="E733" t="s">
        <v>56</v>
      </c>
      <c r="F733" t="s">
        <v>31</v>
      </c>
      <c r="G733" t="s">
        <v>12</v>
      </c>
      <c r="H733" t="s">
        <v>13</v>
      </c>
      <c r="I733" t="s">
        <v>14</v>
      </c>
      <c r="J733" t="s">
        <v>20</v>
      </c>
      <c r="K733">
        <v>6995</v>
      </c>
      <c r="L733">
        <v>15</v>
      </c>
      <c r="M733">
        <v>104925</v>
      </c>
      <c r="N733" t="s">
        <v>16</v>
      </c>
    </row>
    <row r="734" spans="5:14" x14ac:dyDescent="0.35">
      <c r="E734" t="s">
        <v>56</v>
      </c>
      <c r="F734" t="s">
        <v>31</v>
      </c>
      <c r="G734" t="s">
        <v>12</v>
      </c>
      <c r="H734" t="s">
        <v>22</v>
      </c>
      <c r="I734" t="s">
        <v>23</v>
      </c>
      <c r="J734" t="s">
        <v>24</v>
      </c>
      <c r="K734">
        <v>10350</v>
      </c>
      <c r="L734">
        <v>2</v>
      </c>
      <c r="M734">
        <v>20700</v>
      </c>
      <c r="N734" t="s">
        <v>18</v>
      </c>
    </row>
    <row r="735" spans="5:14" x14ac:dyDescent="0.35">
      <c r="E735" t="s">
        <v>56</v>
      </c>
      <c r="F735" t="s">
        <v>31</v>
      </c>
      <c r="G735" t="s">
        <v>12</v>
      </c>
      <c r="H735" t="s">
        <v>22</v>
      </c>
      <c r="I735" t="s">
        <v>23</v>
      </c>
      <c r="J735" t="s">
        <v>25</v>
      </c>
      <c r="K735">
        <v>17845</v>
      </c>
      <c r="L735">
        <v>2</v>
      </c>
      <c r="M735">
        <v>35690</v>
      </c>
      <c r="N735" t="s">
        <v>16</v>
      </c>
    </row>
    <row r="736" spans="5:14" x14ac:dyDescent="0.35">
      <c r="E736" t="s">
        <v>56</v>
      </c>
      <c r="F736" t="s">
        <v>31</v>
      </c>
      <c r="G736" t="s">
        <v>12</v>
      </c>
      <c r="H736" t="s">
        <v>22</v>
      </c>
      <c r="I736" t="s">
        <v>23</v>
      </c>
      <c r="J736" t="s">
        <v>26</v>
      </c>
      <c r="K736">
        <v>7255</v>
      </c>
      <c r="L736">
        <v>5</v>
      </c>
      <c r="M736">
        <v>36275</v>
      </c>
      <c r="N736" t="s">
        <v>18</v>
      </c>
    </row>
    <row r="737" spans="5:14" x14ac:dyDescent="0.35">
      <c r="E737" t="s">
        <v>56</v>
      </c>
      <c r="F737" t="s">
        <v>31</v>
      </c>
      <c r="G737" t="s">
        <v>12</v>
      </c>
      <c r="H737" t="s">
        <v>22</v>
      </c>
      <c r="I737" t="s">
        <v>27</v>
      </c>
      <c r="J737" t="s">
        <v>28</v>
      </c>
      <c r="K737">
        <v>11065</v>
      </c>
      <c r="L737">
        <v>3</v>
      </c>
      <c r="M737">
        <v>33195</v>
      </c>
      <c r="N737" t="s">
        <v>16</v>
      </c>
    </row>
    <row r="738" spans="5:14" x14ac:dyDescent="0.35">
      <c r="E738" t="s">
        <v>56</v>
      </c>
      <c r="F738" t="s">
        <v>32</v>
      </c>
      <c r="G738" t="s">
        <v>12</v>
      </c>
      <c r="H738" t="s">
        <v>13</v>
      </c>
      <c r="I738" t="s">
        <v>14</v>
      </c>
      <c r="J738" t="s">
        <v>15</v>
      </c>
      <c r="K738">
        <v>14962</v>
      </c>
      <c r="L738">
        <v>10</v>
      </c>
      <c r="M738">
        <v>149620</v>
      </c>
      <c r="N738" t="s">
        <v>18</v>
      </c>
    </row>
    <row r="739" spans="5:14" x14ac:dyDescent="0.35">
      <c r="E739" t="s">
        <v>56</v>
      </c>
      <c r="F739" t="s">
        <v>32</v>
      </c>
      <c r="G739" t="s">
        <v>12</v>
      </c>
      <c r="H739" t="s">
        <v>13</v>
      </c>
      <c r="I739" t="s">
        <v>14</v>
      </c>
      <c r="J739" t="s">
        <v>17</v>
      </c>
      <c r="K739">
        <v>6089</v>
      </c>
      <c r="L739">
        <v>20</v>
      </c>
      <c r="M739">
        <v>121780</v>
      </c>
      <c r="N739" t="s">
        <v>21</v>
      </c>
    </row>
    <row r="740" spans="5:14" x14ac:dyDescent="0.35">
      <c r="E740" t="s">
        <v>56</v>
      </c>
      <c r="F740" t="s">
        <v>32</v>
      </c>
      <c r="G740" t="s">
        <v>12</v>
      </c>
      <c r="H740" t="s">
        <v>13</v>
      </c>
      <c r="I740" t="s">
        <v>14</v>
      </c>
      <c r="J740" t="s">
        <v>19</v>
      </c>
      <c r="K740">
        <v>10680</v>
      </c>
      <c r="L740">
        <v>30</v>
      </c>
      <c r="M740">
        <v>320400</v>
      </c>
      <c r="N740" t="s">
        <v>21</v>
      </c>
    </row>
    <row r="741" spans="5:14" x14ac:dyDescent="0.35">
      <c r="E741" t="s">
        <v>56</v>
      </c>
      <c r="F741" t="s">
        <v>32</v>
      </c>
      <c r="G741" t="s">
        <v>12</v>
      </c>
      <c r="H741" t="s">
        <v>13</v>
      </c>
      <c r="I741" t="s">
        <v>14</v>
      </c>
      <c r="J741" t="s">
        <v>20</v>
      </c>
      <c r="K741">
        <v>5286</v>
      </c>
      <c r="L741">
        <v>15</v>
      </c>
      <c r="M741">
        <v>79290</v>
      </c>
      <c r="N741" t="s">
        <v>16</v>
      </c>
    </row>
    <row r="742" spans="5:14" x14ac:dyDescent="0.35">
      <c r="E742" t="s">
        <v>56</v>
      </c>
      <c r="F742" t="s">
        <v>32</v>
      </c>
      <c r="G742" t="s">
        <v>12</v>
      </c>
      <c r="H742" t="s">
        <v>22</v>
      </c>
      <c r="I742" t="s">
        <v>23</v>
      </c>
      <c r="J742" t="s">
        <v>24</v>
      </c>
      <c r="K742">
        <v>17210</v>
      </c>
      <c r="L742">
        <v>2</v>
      </c>
      <c r="M742">
        <v>34420</v>
      </c>
      <c r="N742" t="s">
        <v>16</v>
      </c>
    </row>
    <row r="743" spans="5:14" x14ac:dyDescent="0.35">
      <c r="E743" t="s">
        <v>56</v>
      </c>
      <c r="F743" t="s">
        <v>32</v>
      </c>
      <c r="G743" t="s">
        <v>12</v>
      </c>
      <c r="H743" t="s">
        <v>22</v>
      </c>
      <c r="I743" t="s">
        <v>23</v>
      </c>
      <c r="J743" t="s">
        <v>25</v>
      </c>
      <c r="K743">
        <v>13790</v>
      </c>
      <c r="L743">
        <v>2</v>
      </c>
      <c r="M743">
        <v>27580</v>
      </c>
      <c r="N743" t="s">
        <v>18</v>
      </c>
    </row>
    <row r="744" spans="5:14" x14ac:dyDescent="0.35">
      <c r="E744" t="s">
        <v>56</v>
      </c>
      <c r="F744" t="s">
        <v>32</v>
      </c>
      <c r="G744" t="s">
        <v>12</v>
      </c>
      <c r="H744" t="s">
        <v>22</v>
      </c>
      <c r="I744" t="s">
        <v>23</v>
      </c>
      <c r="J744" t="s">
        <v>26</v>
      </c>
      <c r="K744">
        <v>13631</v>
      </c>
      <c r="L744">
        <v>5</v>
      </c>
      <c r="M744">
        <v>68155</v>
      </c>
      <c r="N744" t="s">
        <v>16</v>
      </c>
    </row>
    <row r="745" spans="5:14" x14ac:dyDescent="0.35">
      <c r="E745" t="s">
        <v>56</v>
      </c>
      <c r="F745" t="s">
        <v>32</v>
      </c>
      <c r="G745" t="s">
        <v>12</v>
      </c>
      <c r="H745" t="s">
        <v>22</v>
      </c>
      <c r="I745" t="s">
        <v>27</v>
      </c>
      <c r="J745" t="s">
        <v>28</v>
      </c>
      <c r="K745">
        <v>18457</v>
      </c>
      <c r="L745">
        <v>3</v>
      </c>
      <c r="M745">
        <v>55371</v>
      </c>
      <c r="N745" t="s">
        <v>21</v>
      </c>
    </row>
    <row r="746" spans="5:14" x14ac:dyDescent="0.35">
      <c r="E746" t="s">
        <v>56</v>
      </c>
      <c r="F746" t="s">
        <v>33</v>
      </c>
      <c r="G746" t="s">
        <v>12</v>
      </c>
      <c r="H746" t="s">
        <v>13</v>
      </c>
      <c r="I746" t="s">
        <v>14</v>
      </c>
      <c r="J746" t="s">
        <v>15</v>
      </c>
      <c r="K746">
        <v>5717</v>
      </c>
      <c r="L746">
        <v>10</v>
      </c>
      <c r="M746">
        <v>57170</v>
      </c>
      <c r="N746" t="s">
        <v>16</v>
      </c>
    </row>
    <row r="747" spans="5:14" x14ac:dyDescent="0.35">
      <c r="E747" t="s">
        <v>56</v>
      </c>
      <c r="F747" t="s">
        <v>33</v>
      </c>
      <c r="G747" t="s">
        <v>12</v>
      </c>
      <c r="H747" t="s">
        <v>13</v>
      </c>
      <c r="I747" t="s">
        <v>14</v>
      </c>
      <c r="J747" t="s">
        <v>17</v>
      </c>
      <c r="K747">
        <v>12203</v>
      </c>
      <c r="L747">
        <v>20</v>
      </c>
      <c r="M747">
        <v>244060</v>
      </c>
      <c r="N747" t="s">
        <v>18</v>
      </c>
    </row>
    <row r="748" spans="5:14" x14ac:dyDescent="0.35">
      <c r="E748" t="s">
        <v>56</v>
      </c>
      <c r="F748" t="s">
        <v>33</v>
      </c>
      <c r="G748" t="s">
        <v>12</v>
      </c>
      <c r="H748" t="s">
        <v>13</v>
      </c>
      <c r="I748" t="s">
        <v>14</v>
      </c>
      <c r="J748" t="s">
        <v>19</v>
      </c>
      <c r="K748">
        <v>10825</v>
      </c>
      <c r="L748">
        <v>30</v>
      </c>
      <c r="M748">
        <v>324750</v>
      </c>
      <c r="N748" t="s">
        <v>16</v>
      </c>
    </row>
    <row r="749" spans="5:14" x14ac:dyDescent="0.35">
      <c r="E749" t="s">
        <v>56</v>
      </c>
      <c r="F749" t="s">
        <v>33</v>
      </c>
      <c r="G749" t="s">
        <v>12</v>
      </c>
      <c r="H749" t="s">
        <v>13</v>
      </c>
      <c r="I749" t="s">
        <v>14</v>
      </c>
      <c r="J749" t="s">
        <v>20</v>
      </c>
      <c r="K749">
        <v>8787</v>
      </c>
      <c r="L749">
        <v>15</v>
      </c>
      <c r="M749">
        <v>131805</v>
      </c>
      <c r="N749" t="s">
        <v>16</v>
      </c>
    </row>
    <row r="750" spans="5:14" x14ac:dyDescent="0.35">
      <c r="E750" t="s">
        <v>56</v>
      </c>
      <c r="F750" t="s">
        <v>33</v>
      </c>
      <c r="G750" t="s">
        <v>12</v>
      </c>
      <c r="H750" t="s">
        <v>22</v>
      </c>
      <c r="I750" t="s">
        <v>23</v>
      </c>
      <c r="J750" t="s">
        <v>24</v>
      </c>
      <c r="K750">
        <v>7759</v>
      </c>
      <c r="L750">
        <v>2</v>
      </c>
      <c r="M750">
        <v>15518</v>
      </c>
      <c r="N750" t="s">
        <v>21</v>
      </c>
    </row>
    <row r="751" spans="5:14" x14ac:dyDescent="0.35">
      <c r="E751" t="s">
        <v>56</v>
      </c>
      <c r="F751" t="s">
        <v>33</v>
      </c>
      <c r="G751" t="s">
        <v>12</v>
      </c>
      <c r="H751" t="s">
        <v>22</v>
      </c>
      <c r="I751" t="s">
        <v>23</v>
      </c>
      <c r="J751" t="s">
        <v>25</v>
      </c>
      <c r="K751">
        <v>15196</v>
      </c>
      <c r="L751">
        <v>2</v>
      </c>
      <c r="M751">
        <v>30392</v>
      </c>
      <c r="N751" t="s">
        <v>21</v>
      </c>
    </row>
    <row r="752" spans="5:14" x14ac:dyDescent="0.35">
      <c r="E752" t="s">
        <v>56</v>
      </c>
      <c r="F752" t="s">
        <v>33</v>
      </c>
      <c r="G752" t="s">
        <v>12</v>
      </c>
      <c r="H752" t="s">
        <v>22</v>
      </c>
      <c r="I752" t="s">
        <v>23</v>
      </c>
      <c r="J752" t="s">
        <v>26</v>
      </c>
      <c r="K752">
        <v>7182</v>
      </c>
      <c r="L752">
        <v>5</v>
      </c>
      <c r="M752">
        <v>35910</v>
      </c>
      <c r="N752" t="s">
        <v>16</v>
      </c>
    </row>
    <row r="753" spans="5:14" x14ac:dyDescent="0.35">
      <c r="E753" t="s">
        <v>56</v>
      </c>
      <c r="F753" t="s">
        <v>33</v>
      </c>
      <c r="G753" t="s">
        <v>12</v>
      </c>
      <c r="H753" t="s">
        <v>22</v>
      </c>
      <c r="I753" t="s">
        <v>27</v>
      </c>
      <c r="J753" t="s">
        <v>28</v>
      </c>
      <c r="K753">
        <v>6718</v>
      </c>
      <c r="L753">
        <v>3</v>
      </c>
      <c r="M753">
        <v>20154</v>
      </c>
      <c r="N753" t="s">
        <v>21</v>
      </c>
    </row>
    <row r="754" spans="5:14" x14ac:dyDescent="0.35">
      <c r="E754" t="s">
        <v>56</v>
      </c>
      <c r="F754" t="s">
        <v>34</v>
      </c>
      <c r="G754" t="s">
        <v>12</v>
      </c>
      <c r="H754" t="s">
        <v>13</v>
      </c>
      <c r="I754" t="s">
        <v>14</v>
      </c>
      <c r="J754" t="s">
        <v>15</v>
      </c>
      <c r="K754">
        <v>8982</v>
      </c>
      <c r="L754">
        <v>10</v>
      </c>
      <c r="M754">
        <v>89820</v>
      </c>
      <c r="N754" t="s">
        <v>18</v>
      </c>
    </row>
    <row r="755" spans="5:14" x14ac:dyDescent="0.35">
      <c r="E755" t="s">
        <v>56</v>
      </c>
      <c r="F755" t="s">
        <v>34</v>
      </c>
      <c r="G755" t="s">
        <v>12</v>
      </c>
      <c r="H755" t="s">
        <v>13</v>
      </c>
      <c r="I755" t="s">
        <v>14</v>
      </c>
      <c r="J755" t="s">
        <v>17</v>
      </c>
      <c r="K755">
        <v>7501</v>
      </c>
      <c r="L755">
        <v>20</v>
      </c>
      <c r="M755">
        <v>150020</v>
      </c>
      <c r="N755" t="s">
        <v>21</v>
      </c>
    </row>
    <row r="756" spans="5:14" x14ac:dyDescent="0.35">
      <c r="E756" t="s">
        <v>56</v>
      </c>
      <c r="F756" t="s">
        <v>34</v>
      </c>
      <c r="G756" t="s">
        <v>12</v>
      </c>
      <c r="H756" t="s">
        <v>13</v>
      </c>
      <c r="I756" t="s">
        <v>14</v>
      </c>
      <c r="J756" t="s">
        <v>19</v>
      </c>
      <c r="K756">
        <v>9189</v>
      </c>
      <c r="L756">
        <v>30</v>
      </c>
      <c r="M756">
        <v>275670</v>
      </c>
      <c r="N756" t="s">
        <v>18</v>
      </c>
    </row>
    <row r="757" spans="5:14" x14ac:dyDescent="0.35">
      <c r="E757" t="s">
        <v>56</v>
      </c>
      <c r="F757" t="s">
        <v>34</v>
      </c>
      <c r="G757" t="s">
        <v>12</v>
      </c>
      <c r="H757" t="s">
        <v>13</v>
      </c>
      <c r="I757" t="s">
        <v>14</v>
      </c>
      <c r="J757" t="s">
        <v>20</v>
      </c>
      <c r="K757">
        <v>8116</v>
      </c>
      <c r="L757">
        <v>15</v>
      </c>
      <c r="M757">
        <v>121740</v>
      </c>
      <c r="N757" t="s">
        <v>21</v>
      </c>
    </row>
    <row r="758" spans="5:14" x14ac:dyDescent="0.35">
      <c r="E758" t="s">
        <v>56</v>
      </c>
      <c r="F758" t="s">
        <v>34</v>
      </c>
      <c r="G758" t="s">
        <v>12</v>
      </c>
      <c r="H758" t="s">
        <v>22</v>
      </c>
      <c r="I758" t="s">
        <v>23</v>
      </c>
      <c r="J758" t="s">
        <v>24</v>
      </c>
      <c r="K758">
        <v>10860</v>
      </c>
      <c r="L758">
        <v>2</v>
      </c>
      <c r="M758">
        <v>21720</v>
      </c>
      <c r="N758" t="s">
        <v>21</v>
      </c>
    </row>
    <row r="759" spans="5:14" x14ac:dyDescent="0.35">
      <c r="E759" t="s">
        <v>56</v>
      </c>
      <c r="F759" t="s">
        <v>34</v>
      </c>
      <c r="G759" t="s">
        <v>12</v>
      </c>
      <c r="H759" t="s">
        <v>22</v>
      </c>
      <c r="I759" t="s">
        <v>23</v>
      </c>
      <c r="J759" t="s">
        <v>25</v>
      </c>
      <c r="K759">
        <v>8902</v>
      </c>
      <c r="L759">
        <v>2</v>
      </c>
      <c r="M759">
        <v>17804</v>
      </c>
      <c r="N759" t="s">
        <v>21</v>
      </c>
    </row>
    <row r="760" spans="5:14" x14ac:dyDescent="0.35">
      <c r="E760" t="s">
        <v>56</v>
      </c>
      <c r="F760" t="s">
        <v>34</v>
      </c>
      <c r="G760" t="s">
        <v>12</v>
      </c>
      <c r="H760" t="s">
        <v>22</v>
      </c>
      <c r="I760" t="s">
        <v>23</v>
      </c>
      <c r="J760" t="s">
        <v>26</v>
      </c>
      <c r="K760">
        <v>13010</v>
      </c>
      <c r="L760">
        <v>5</v>
      </c>
      <c r="M760">
        <v>65050</v>
      </c>
      <c r="N760" t="s">
        <v>18</v>
      </c>
    </row>
    <row r="761" spans="5:14" x14ac:dyDescent="0.35">
      <c r="E761" t="s">
        <v>56</v>
      </c>
      <c r="F761" t="s">
        <v>34</v>
      </c>
      <c r="G761" t="s">
        <v>12</v>
      </c>
      <c r="H761" t="s">
        <v>22</v>
      </c>
      <c r="I761" t="s">
        <v>27</v>
      </c>
      <c r="J761" t="s">
        <v>28</v>
      </c>
      <c r="K761">
        <v>7793</v>
      </c>
      <c r="L761">
        <v>3</v>
      </c>
      <c r="M761">
        <v>23379</v>
      </c>
      <c r="N761" t="s">
        <v>21</v>
      </c>
    </row>
    <row r="762" spans="5:14" x14ac:dyDescent="0.35">
      <c r="E762" t="s">
        <v>56</v>
      </c>
      <c r="F762" t="s">
        <v>35</v>
      </c>
      <c r="G762" t="s">
        <v>36</v>
      </c>
      <c r="H762" t="s">
        <v>13</v>
      </c>
      <c r="I762" t="s">
        <v>14</v>
      </c>
      <c r="J762" t="s">
        <v>15</v>
      </c>
      <c r="K762">
        <v>8811</v>
      </c>
      <c r="L762">
        <v>10</v>
      </c>
      <c r="M762">
        <v>88110</v>
      </c>
      <c r="N762" t="s">
        <v>16</v>
      </c>
    </row>
    <row r="763" spans="5:14" x14ac:dyDescent="0.35">
      <c r="E763" t="s">
        <v>56</v>
      </c>
      <c r="F763" t="s">
        <v>35</v>
      </c>
      <c r="G763" t="s">
        <v>36</v>
      </c>
      <c r="H763" t="s">
        <v>13</v>
      </c>
      <c r="I763" t="s">
        <v>14</v>
      </c>
      <c r="J763" t="s">
        <v>17</v>
      </c>
      <c r="K763">
        <v>5753</v>
      </c>
      <c r="L763">
        <v>20</v>
      </c>
      <c r="M763">
        <v>115060</v>
      </c>
      <c r="N763" t="s">
        <v>16</v>
      </c>
    </row>
    <row r="764" spans="5:14" x14ac:dyDescent="0.35">
      <c r="E764" t="s">
        <v>56</v>
      </c>
      <c r="F764" t="s">
        <v>35</v>
      </c>
      <c r="G764" t="s">
        <v>36</v>
      </c>
      <c r="H764" t="s">
        <v>13</v>
      </c>
      <c r="I764" t="s">
        <v>14</v>
      </c>
      <c r="J764" t="s">
        <v>19</v>
      </c>
      <c r="K764">
        <v>10113</v>
      </c>
      <c r="L764">
        <v>30</v>
      </c>
      <c r="M764">
        <v>303390</v>
      </c>
      <c r="N764" t="s">
        <v>16</v>
      </c>
    </row>
    <row r="765" spans="5:14" x14ac:dyDescent="0.35">
      <c r="E765" t="s">
        <v>56</v>
      </c>
      <c r="F765" t="s">
        <v>35</v>
      </c>
      <c r="G765" t="s">
        <v>36</v>
      </c>
      <c r="H765" t="s">
        <v>13</v>
      </c>
      <c r="I765" t="s">
        <v>14</v>
      </c>
      <c r="J765" t="s">
        <v>20</v>
      </c>
      <c r="K765">
        <v>6084</v>
      </c>
      <c r="L765">
        <v>15</v>
      </c>
      <c r="M765">
        <v>91260</v>
      </c>
      <c r="N765" t="s">
        <v>18</v>
      </c>
    </row>
    <row r="766" spans="5:14" x14ac:dyDescent="0.35">
      <c r="E766" t="s">
        <v>56</v>
      </c>
      <c r="F766" t="s">
        <v>35</v>
      </c>
      <c r="G766" t="s">
        <v>36</v>
      </c>
      <c r="H766" t="s">
        <v>22</v>
      </c>
      <c r="I766" t="s">
        <v>23</v>
      </c>
      <c r="J766" t="s">
        <v>24</v>
      </c>
      <c r="K766">
        <v>14348</v>
      </c>
      <c r="L766">
        <v>2</v>
      </c>
      <c r="M766">
        <v>28696</v>
      </c>
      <c r="N766" t="s">
        <v>18</v>
      </c>
    </row>
    <row r="767" spans="5:14" x14ac:dyDescent="0.35">
      <c r="E767" t="s">
        <v>56</v>
      </c>
      <c r="F767" t="s">
        <v>35</v>
      </c>
      <c r="G767" t="s">
        <v>36</v>
      </c>
      <c r="H767" t="s">
        <v>22</v>
      </c>
      <c r="I767" t="s">
        <v>23</v>
      </c>
      <c r="J767" t="s">
        <v>25</v>
      </c>
      <c r="K767">
        <v>17961</v>
      </c>
      <c r="L767">
        <v>2</v>
      </c>
      <c r="M767">
        <v>35922</v>
      </c>
      <c r="N767" t="s">
        <v>16</v>
      </c>
    </row>
    <row r="768" spans="5:14" x14ac:dyDescent="0.35">
      <c r="E768" t="s">
        <v>56</v>
      </c>
      <c r="F768" t="s">
        <v>35</v>
      </c>
      <c r="G768" t="s">
        <v>36</v>
      </c>
      <c r="H768" t="s">
        <v>22</v>
      </c>
      <c r="I768" t="s">
        <v>23</v>
      </c>
      <c r="J768" t="s">
        <v>26</v>
      </c>
      <c r="K768">
        <v>8313</v>
      </c>
      <c r="L768">
        <v>5</v>
      </c>
      <c r="M768">
        <v>41565</v>
      </c>
      <c r="N768" t="s">
        <v>18</v>
      </c>
    </row>
    <row r="769" spans="5:14" x14ac:dyDescent="0.35">
      <c r="E769" t="s">
        <v>56</v>
      </c>
      <c r="F769" t="s">
        <v>35</v>
      </c>
      <c r="G769" t="s">
        <v>36</v>
      </c>
      <c r="H769" t="s">
        <v>22</v>
      </c>
      <c r="I769" t="s">
        <v>27</v>
      </c>
      <c r="J769" t="s">
        <v>28</v>
      </c>
      <c r="K769">
        <v>10798</v>
      </c>
      <c r="L769">
        <v>3</v>
      </c>
      <c r="M769">
        <v>32394</v>
      </c>
      <c r="N769" t="s">
        <v>16</v>
      </c>
    </row>
    <row r="770" spans="5:14" x14ac:dyDescent="0.35">
      <c r="E770" t="s">
        <v>56</v>
      </c>
      <c r="F770" t="s">
        <v>37</v>
      </c>
      <c r="G770" t="s">
        <v>36</v>
      </c>
      <c r="H770" t="s">
        <v>13</v>
      </c>
      <c r="I770" t="s">
        <v>14</v>
      </c>
      <c r="J770" t="s">
        <v>15</v>
      </c>
      <c r="K770">
        <v>7161</v>
      </c>
      <c r="L770">
        <v>10</v>
      </c>
      <c r="M770">
        <v>71610</v>
      </c>
      <c r="N770" t="s">
        <v>16</v>
      </c>
    </row>
    <row r="771" spans="5:14" x14ac:dyDescent="0.35">
      <c r="E771" t="s">
        <v>56</v>
      </c>
      <c r="F771" t="s">
        <v>37</v>
      </c>
      <c r="G771" t="s">
        <v>36</v>
      </c>
      <c r="H771" t="s">
        <v>13</v>
      </c>
      <c r="I771" t="s">
        <v>14</v>
      </c>
      <c r="J771" t="s">
        <v>17</v>
      </c>
      <c r="K771">
        <v>8441</v>
      </c>
      <c r="L771">
        <v>20</v>
      </c>
      <c r="M771">
        <v>168820</v>
      </c>
      <c r="N771" t="s">
        <v>16</v>
      </c>
    </row>
    <row r="772" spans="5:14" x14ac:dyDescent="0.35">
      <c r="E772" t="s">
        <v>56</v>
      </c>
      <c r="F772" t="s">
        <v>37</v>
      </c>
      <c r="G772" t="s">
        <v>36</v>
      </c>
      <c r="H772" t="s">
        <v>13</v>
      </c>
      <c r="I772" t="s">
        <v>14</v>
      </c>
      <c r="J772" t="s">
        <v>19</v>
      </c>
      <c r="K772">
        <v>14713</v>
      </c>
      <c r="L772">
        <v>30</v>
      </c>
      <c r="M772">
        <v>441390</v>
      </c>
      <c r="N772" t="s">
        <v>21</v>
      </c>
    </row>
    <row r="773" spans="5:14" x14ac:dyDescent="0.35">
      <c r="E773" t="s">
        <v>56</v>
      </c>
      <c r="F773" t="s">
        <v>37</v>
      </c>
      <c r="G773" t="s">
        <v>36</v>
      </c>
      <c r="H773" t="s">
        <v>13</v>
      </c>
      <c r="I773" t="s">
        <v>14</v>
      </c>
      <c r="J773" t="s">
        <v>20</v>
      </c>
      <c r="K773">
        <v>12341</v>
      </c>
      <c r="L773">
        <v>15</v>
      </c>
      <c r="M773">
        <v>185115</v>
      </c>
      <c r="N773" t="s">
        <v>18</v>
      </c>
    </row>
    <row r="774" spans="5:14" x14ac:dyDescent="0.35">
      <c r="E774" t="s">
        <v>56</v>
      </c>
      <c r="F774" t="s">
        <v>37</v>
      </c>
      <c r="G774" t="s">
        <v>36</v>
      </c>
      <c r="H774" t="s">
        <v>22</v>
      </c>
      <c r="I774" t="s">
        <v>23</v>
      </c>
      <c r="J774" t="s">
        <v>24</v>
      </c>
      <c r="K774">
        <v>13797</v>
      </c>
      <c r="L774">
        <v>2</v>
      </c>
      <c r="M774">
        <v>27594</v>
      </c>
      <c r="N774" t="s">
        <v>18</v>
      </c>
    </row>
    <row r="775" spans="5:14" x14ac:dyDescent="0.35">
      <c r="E775" t="s">
        <v>56</v>
      </c>
      <c r="F775" t="s">
        <v>37</v>
      </c>
      <c r="G775" t="s">
        <v>36</v>
      </c>
      <c r="H775" t="s">
        <v>22</v>
      </c>
      <c r="I775" t="s">
        <v>23</v>
      </c>
      <c r="J775" t="s">
        <v>25</v>
      </c>
      <c r="K775">
        <v>7047</v>
      </c>
      <c r="L775">
        <v>2</v>
      </c>
      <c r="M775">
        <v>14094</v>
      </c>
      <c r="N775" t="s">
        <v>21</v>
      </c>
    </row>
    <row r="776" spans="5:14" x14ac:dyDescent="0.35">
      <c r="E776" t="s">
        <v>56</v>
      </c>
      <c r="F776" t="s">
        <v>37</v>
      </c>
      <c r="G776" t="s">
        <v>36</v>
      </c>
      <c r="H776" t="s">
        <v>22</v>
      </c>
      <c r="I776" t="s">
        <v>23</v>
      </c>
      <c r="J776" t="s">
        <v>26</v>
      </c>
      <c r="K776">
        <v>11327</v>
      </c>
      <c r="L776">
        <v>5</v>
      </c>
      <c r="M776">
        <v>56635</v>
      </c>
      <c r="N776" t="s">
        <v>21</v>
      </c>
    </row>
    <row r="777" spans="5:14" x14ac:dyDescent="0.35">
      <c r="E777" t="s">
        <v>56</v>
      </c>
      <c r="F777" t="s">
        <v>37</v>
      </c>
      <c r="G777" t="s">
        <v>36</v>
      </c>
      <c r="H777" t="s">
        <v>22</v>
      </c>
      <c r="I777" t="s">
        <v>27</v>
      </c>
      <c r="J777" t="s">
        <v>28</v>
      </c>
      <c r="K777">
        <v>17137</v>
      </c>
      <c r="L777">
        <v>3</v>
      </c>
      <c r="M777">
        <v>51411</v>
      </c>
      <c r="N777" t="s">
        <v>18</v>
      </c>
    </row>
    <row r="778" spans="5:14" x14ac:dyDescent="0.35">
      <c r="E778" t="s">
        <v>56</v>
      </c>
      <c r="F778" t="s">
        <v>38</v>
      </c>
      <c r="G778" t="s">
        <v>36</v>
      </c>
      <c r="H778" t="s">
        <v>13</v>
      </c>
      <c r="I778" t="s">
        <v>14</v>
      </c>
      <c r="J778" t="s">
        <v>15</v>
      </c>
      <c r="K778">
        <v>13012</v>
      </c>
      <c r="L778">
        <v>10</v>
      </c>
      <c r="M778">
        <v>130120</v>
      </c>
      <c r="N778" t="s">
        <v>18</v>
      </c>
    </row>
    <row r="779" spans="5:14" x14ac:dyDescent="0.35">
      <c r="E779" t="s">
        <v>56</v>
      </c>
      <c r="F779" t="s">
        <v>38</v>
      </c>
      <c r="G779" t="s">
        <v>36</v>
      </c>
      <c r="H779" t="s">
        <v>13</v>
      </c>
      <c r="I779" t="s">
        <v>14</v>
      </c>
      <c r="J779" t="s">
        <v>17</v>
      </c>
      <c r="K779">
        <v>5805</v>
      </c>
      <c r="L779">
        <v>20</v>
      </c>
      <c r="M779">
        <v>116100</v>
      </c>
      <c r="N779" t="s">
        <v>16</v>
      </c>
    </row>
    <row r="780" spans="5:14" x14ac:dyDescent="0.35">
      <c r="E780" t="s">
        <v>56</v>
      </c>
      <c r="F780" t="s">
        <v>38</v>
      </c>
      <c r="G780" t="s">
        <v>36</v>
      </c>
      <c r="H780" t="s">
        <v>13</v>
      </c>
      <c r="I780" t="s">
        <v>14</v>
      </c>
      <c r="J780" t="s">
        <v>19</v>
      </c>
      <c r="K780">
        <v>12350</v>
      </c>
      <c r="L780">
        <v>30</v>
      </c>
      <c r="M780">
        <v>370500</v>
      </c>
      <c r="N780" t="s">
        <v>18</v>
      </c>
    </row>
    <row r="781" spans="5:14" x14ac:dyDescent="0.35">
      <c r="E781" t="s">
        <v>56</v>
      </c>
      <c r="F781" t="s">
        <v>38</v>
      </c>
      <c r="G781" t="s">
        <v>36</v>
      </c>
      <c r="H781" t="s">
        <v>13</v>
      </c>
      <c r="I781" t="s">
        <v>14</v>
      </c>
      <c r="J781" t="s">
        <v>20</v>
      </c>
      <c r="K781">
        <v>11226</v>
      </c>
      <c r="L781">
        <v>15</v>
      </c>
      <c r="M781">
        <v>168390</v>
      </c>
      <c r="N781" t="s">
        <v>16</v>
      </c>
    </row>
    <row r="782" spans="5:14" x14ac:dyDescent="0.35">
      <c r="E782" t="s">
        <v>56</v>
      </c>
      <c r="F782" t="s">
        <v>38</v>
      </c>
      <c r="G782" t="s">
        <v>36</v>
      </c>
      <c r="H782" t="s">
        <v>22</v>
      </c>
      <c r="I782" t="s">
        <v>23</v>
      </c>
      <c r="J782" t="s">
        <v>24</v>
      </c>
      <c r="K782">
        <v>15566</v>
      </c>
      <c r="L782">
        <v>2</v>
      </c>
      <c r="M782">
        <v>31132</v>
      </c>
      <c r="N782" t="s">
        <v>18</v>
      </c>
    </row>
    <row r="783" spans="5:14" x14ac:dyDescent="0.35">
      <c r="E783" t="s">
        <v>56</v>
      </c>
      <c r="F783" t="s">
        <v>38</v>
      </c>
      <c r="G783" t="s">
        <v>36</v>
      </c>
      <c r="H783" t="s">
        <v>22</v>
      </c>
      <c r="I783" t="s">
        <v>23</v>
      </c>
      <c r="J783" t="s">
        <v>25</v>
      </c>
      <c r="K783">
        <v>11662</v>
      </c>
      <c r="L783">
        <v>2</v>
      </c>
      <c r="M783">
        <v>23324</v>
      </c>
      <c r="N783" t="s">
        <v>21</v>
      </c>
    </row>
    <row r="784" spans="5:14" x14ac:dyDescent="0.35">
      <c r="E784" t="s">
        <v>56</v>
      </c>
      <c r="F784" t="s">
        <v>38</v>
      </c>
      <c r="G784" t="s">
        <v>36</v>
      </c>
      <c r="H784" t="s">
        <v>22</v>
      </c>
      <c r="I784" t="s">
        <v>23</v>
      </c>
      <c r="J784" t="s">
        <v>26</v>
      </c>
      <c r="K784">
        <v>12489</v>
      </c>
      <c r="L784">
        <v>5</v>
      </c>
      <c r="M784">
        <v>62445</v>
      </c>
      <c r="N784" t="s">
        <v>18</v>
      </c>
    </row>
    <row r="785" spans="5:14" x14ac:dyDescent="0.35">
      <c r="E785" t="s">
        <v>56</v>
      </c>
      <c r="F785" t="s">
        <v>38</v>
      </c>
      <c r="G785" t="s">
        <v>36</v>
      </c>
      <c r="H785" t="s">
        <v>22</v>
      </c>
      <c r="I785" t="s">
        <v>27</v>
      </c>
      <c r="J785" t="s">
        <v>28</v>
      </c>
      <c r="K785">
        <v>8155</v>
      </c>
      <c r="L785">
        <v>3</v>
      </c>
      <c r="M785">
        <v>24465</v>
      </c>
      <c r="N785" t="s">
        <v>16</v>
      </c>
    </row>
    <row r="786" spans="5:14" x14ac:dyDescent="0.35">
      <c r="E786" t="s">
        <v>56</v>
      </c>
      <c r="F786" t="s">
        <v>39</v>
      </c>
      <c r="G786" t="s">
        <v>36</v>
      </c>
      <c r="H786" t="s">
        <v>13</v>
      </c>
      <c r="I786" t="s">
        <v>14</v>
      </c>
      <c r="J786" t="s">
        <v>15</v>
      </c>
      <c r="K786">
        <v>9459</v>
      </c>
      <c r="L786">
        <v>10</v>
      </c>
      <c r="M786">
        <v>94590</v>
      </c>
      <c r="N786" t="s">
        <v>21</v>
      </c>
    </row>
    <row r="787" spans="5:14" x14ac:dyDescent="0.35">
      <c r="E787" t="s">
        <v>56</v>
      </c>
      <c r="F787" t="s">
        <v>39</v>
      </c>
      <c r="G787" t="s">
        <v>36</v>
      </c>
      <c r="H787" t="s">
        <v>13</v>
      </c>
      <c r="I787" t="s">
        <v>14</v>
      </c>
      <c r="J787" t="s">
        <v>17</v>
      </c>
      <c r="K787">
        <v>6036</v>
      </c>
      <c r="L787">
        <v>20</v>
      </c>
      <c r="M787">
        <v>120720</v>
      </c>
      <c r="N787" t="s">
        <v>18</v>
      </c>
    </row>
    <row r="788" spans="5:14" x14ac:dyDescent="0.35">
      <c r="E788" t="s">
        <v>56</v>
      </c>
      <c r="F788" t="s">
        <v>39</v>
      </c>
      <c r="G788" t="s">
        <v>36</v>
      </c>
      <c r="H788" t="s">
        <v>13</v>
      </c>
      <c r="I788" t="s">
        <v>14</v>
      </c>
      <c r="J788" t="s">
        <v>19</v>
      </c>
      <c r="K788">
        <v>7974</v>
      </c>
      <c r="L788">
        <v>30</v>
      </c>
      <c r="M788">
        <v>239220</v>
      </c>
      <c r="N788" t="s">
        <v>21</v>
      </c>
    </row>
    <row r="789" spans="5:14" x14ac:dyDescent="0.35">
      <c r="E789" t="s">
        <v>56</v>
      </c>
      <c r="F789" t="s">
        <v>39</v>
      </c>
      <c r="G789" t="s">
        <v>36</v>
      </c>
      <c r="H789" t="s">
        <v>13</v>
      </c>
      <c r="I789" t="s">
        <v>14</v>
      </c>
      <c r="J789" t="s">
        <v>20</v>
      </c>
      <c r="K789">
        <v>12254</v>
      </c>
      <c r="L789">
        <v>15</v>
      </c>
      <c r="M789">
        <v>183810</v>
      </c>
      <c r="N789" t="s">
        <v>18</v>
      </c>
    </row>
    <row r="790" spans="5:14" x14ac:dyDescent="0.35">
      <c r="E790" t="s">
        <v>56</v>
      </c>
      <c r="F790" t="s">
        <v>39</v>
      </c>
      <c r="G790" t="s">
        <v>36</v>
      </c>
      <c r="H790" t="s">
        <v>22</v>
      </c>
      <c r="I790" t="s">
        <v>23</v>
      </c>
      <c r="J790" t="s">
        <v>24</v>
      </c>
      <c r="K790">
        <v>8529</v>
      </c>
      <c r="L790">
        <v>2</v>
      </c>
      <c r="M790">
        <v>17058</v>
      </c>
      <c r="N790" t="s">
        <v>21</v>
      </c>
    </row>
    <row r="791" spans="5:14" x14ac:dyDescent="0.35">
      <c r="E791" t="s">
        <v>56</v>
      </c>
      <c r="F791" t="s">
        <v>39</v>
      </c>
      <c r="G791" t="s">
        <v>36</v>
      </c>
      <c r="H791" t="s">
        <v>22</v>
      </c>
      <c r="I791" t="s">
        <v>23</v>
      </c>
      <c r="J791" t="s">
        <v>25</v>
      </c>
      <c r="K791">
        <v>12814</v>
      </c>
      <c r="L791">
        <v>2</v>
      </c>
      <c r="M791">
        <v>25628</v>
      </c>
      <c r="N791" t="s">
        <v>21</v>
      </c>
    </row>
    <row r="792" spans="5:14" x14ac:dyDescent="0.35">
      <c r="E792" t="s">
        <v>56</v>
      </c>
      <c r="F792" t="s">
        <v>39</v>
      </c>
      <c r="G792" t="s">
        <v>36</v>
      </c>
      <c r="H792" t="s">
        <v>22</v>
      </c>
      <c r="I792" t="s">
        <v>23</v>
      </c>
      <c r="J792" t="s">
        <v>26</v>
      </c>
      <c r="K792">
        <v>13549</v>
      </c>
      <c r="L792">
        <v>5</v>
      </c>
      <c r="M792">
        <v>67745</v>
      </c>
      <c r="N792" t="s">
        <v>16</v>
      </c>
    </row>
    <row r="793" spans="5:14" x14ac:dyDescent="0.35">
      <c r="E793" t="s">
        <v>56</v>
      </c>
      <c r="F793" t="s">
        <v>39</v>
      </c>
      <c r="G793" t="s">
        <v>36</v>
      </c>
      <c r="H793" t="s">
        <v>22</v>
      </c>
      <c r="I793" t="s">
        <v>27</v>
      </c>
      <c r="J793" t="s">
        <v>28</v>
      </c>
      <c r="K793">
        <v>14144</v>
      </c>
      <c r="L793">
        <v>3</v>
      </c>
      <c r="M793">
        <v>42432</v>
      </c>
      <c r="N793" t="s">
        <v>18</v>
      </c>
    </row>
    <row r="794" spans="5:14" x14ac:dyDescent="0.35">
      <c r="E794" t="s">
        <v>56</v>
      </c>
      <c r="F794" t="s">
        <v>40</v>
      </c>
      <c r="G794" t="s">
        <v>36</v>
      </c>
      <c r="H794" t="s">
        <v>13</v>
      </c>
      <c r="I794" t="s">
        <v>14</v>
      </c>
      <c r="J794" t="s">
        <v>15</v>
      </c>
      <c r="K794">
        <v>10504</v>
      </c>
      <c r="L794">
        <v>10</v>
      </c>
      <c r="M794">
        <v>105040</v>
      </c>
      <c r="N794" t="s">
        <v>21</v>
      </c>
    </row>
    <row r="795" spans="5:14" x14ac:dyDescent="0.35">
      <c r="E795" t="s">
        <v>56</v>
      </c>
      <c r="F795" t="s">
        <v>40</v>
      </c>
      <c r="G795" t="s">
        <v>36</v>
      </c>
      <c r="H795" t="s">
        <v>13</v>
      </c>
      <c r="I795" t="s">
        <v>14</v>
      </c>
      <c r="J795" t="s">
        <v>17</v>
      </c>
      <c r="K795">
        <v>9528</v>
      </c>
      <c r="L795">
        <v>20</v>
      </c>
      <c r="M795">
        <v>190560</v>
      </c>
      <c r="N795" t="s">
        <v>21</v>
      </c>
    </row>
    <row r="796" spans="5:14" x14ac:dyDescent="0.35">
      <c r="E796" t="s">
        <v>56</v>
      </c>
      <c r="F796" t="s">
        <v>40</v>
      </c>
      <c r="G796" t="s">
        <v>36</v>
      </c>
      <c r="H796" t="s">
        <v>13</v>
      </c>
      <c r="I796" t="s">
        <v>14</v>
      </c>
      <c r="J796" t="s">
        <v>19</v>
      </c>
      <c r="K796">
        <v>7695</v>
      </c>
      <c r="L796">
        <v>30</v>
      </c>
      <c r="M796">
        <v>230850</v>
      </c>
      <c r="N796" t="s">
        <v>18</v>
      </c>
    </row>
    <row r="797" spans="5:14" x14ac:dyDescent="0.35">
      <c r="E797" t="s">
        <v>56</v>
      </c>
      <c r="F797" t="s">
        <v>40</v>
      </c>
      <c r="G797" t="s">
        <v>36</v>
      </c>
      <c r="H797" t="s">
        <v>13</v>
      </c>
      <c r="I797" t="s">
        <v>14</v>
      </c>
      <c r="J797" t="s">
        <v>20</v>
      </c>
      <c r="K797">
        <v>11633</v>
      </c>
      <c r="L797">
        <v>15</v>
      </c>
      <c r="M797">
        <v>174495</v>
      </c>
      <c r="N797" t="s">
        <v>21</v>
      </c>
    </row>
    <row r="798" spans="5:14" x14ac:dyDescent="0.35">
      <c r="E798" t="s">
        <v>56</v>
      </c>
      <c r="F798" t="s">
        <v>40</v>
      </c>
      <c r="G798" t="s">
        <v>36</v>
      </c>
      <c r="H798" t="s">
        <v>22</v>
      </c>
      <c r="I798" t="s">
        <v>23</v>
      </c>
      <c r="J798" t="s">
        <v>24</v>
      </c>
      <c r="K798">
        <v>16699</v>
      </c>
      <c r="L798">
        <v>2</v>
      </c>
      <c r="M798">
        <v>33398</v>
      </c>
      <c r="N798" t="s">
        <v>16</v>
      </c>
    </row>
    <row r="799" spans="5:14" x14ac:dyDescent="0.35">
      <c r="E799" t="s">
        <v>56</v>
      </c>
      <c r="F799" t="s">
        <v>40</v>
      </c>
      <c r="G799" t="s">
        <v>36</v>
      </c>
      <c r="H799" t="s">
        <v>22</v>
      </c>
      <c r="I799" t="s">
        <v>23</v>
      </c>
      <c r="J799" t="s">
        <v>25</v>
      </c>
      <c r="K799">
        <v>13917</v>
      </c>
      <c r="L799">
        <v>2</v>
      </c>
      <c r="M799">
        <v>27834</v>
      </c>
      <c r="N799" t="s">
        <v>18</v>
      </c>
    </row>
    <row r="800" spans="5:14" x14ac:dyDescent="0.35">
      <c r="E800" t="s">
        <v>56</v>
      </c>
      <c r="F800" t="s">
        <v>40</v>
      </c>
      <c r="G800" t="s">
        <v>36</v>
      </c>
      <c r="H800" t="s">
        <v>22</v>
      </c>
      <c r="I800" t="s">
        <v>23</v>
      </c>
      <c r="J800" t="s">
        <v>26</v>
      </c>
      <c r="K800">
        <v>19672</v>
      </c>
      <c r="L800">
        <v>5</v>
      </c>
      <c r="M800">
        <v>98360</v>
      </c>
      <c r="N800" t="s">
        <v>21</v>
      </c>
    </row>
    <row r="801" spans="5:14" x14ac:dyDescent="0.35">
      <c r="E801" t="s">
        <v>56</v>
      </c>
      <c r="F801" t="s">
        <v>40</v>
      </c>
      <c r="G801" t="s">
        <v>36</v>
      </c>
      <c r="H801" t="s">
        <v>22</v>
      </c>
      <c r="I801" t="s">
        <v>27</v>
      </c>
      <c r="J801" t="s">
        <v>28</v>
      </c>
      <c r="K801">
        <v>9212</v>
      </c>
      <c r="L801">
        <v>3</v>
      </c>
      <c r="M801">
        <v>27636</v>
      </c>
      <c r="N801" t="s">
        <v>21</v>
      </c>
    </row>
    <row r="802" spans="5:14" x14ac:dyDescent="0.35">
      <c r="E802" t="s">
        <v>56</v>
      </c>
      <c r="F802" t="s">
        <v>41</v>
      </c>
      <c r="G802" t="s">
        <v>42</v>
      </c>
      <c r="H802" t="s">
        <v>13</v>
      </c>
      <c r="I802" t="s">
        <v>14</v>
      </c>
      <c r="J802" t="s">
        <v>15</v>
      </c>
      <c r="K802">
        <v>5869</v>
      </c>
      <c r="L802">
        <v>10</v>
      </c>
      <c r="M802">
        <v>58690</v>
      </c>
      <c r="N802" t="s">
        <v>16</v>
      </c>
    </row>
    <row r="803" spans="5:14" x14ac:dyDescent="0.35">
      <c r="E803" t="s">
        <v>56</v>
      </c>
      <c r="F803" t="s">
        <v>41</v>
      </c>
      <c r="G803" t="s">
        <v>42</v>
      </c>
      <c r="H803" t="s">
        <v>13</v>
      </c>
      <c r="I803" t="s">
        <v>14</v>
      </c>
      <c r="J803" t="s">
        <v>17</v>
      </c>
      <c r="K803">
        <v>9375</v>
      </c>
      <c r="L803">
        <v>20</v>
      </c>
      <c r="M803">
        <v>187500</v>
      </c>
      <c r="N803" t="s">
        <v>16</v>
      </c>
    </row>
    <row r="804" spans="5:14" x14ac:dyDescent="0.35">
      <c r="E804" t="s">
        <v>56</v>
      </c>
      <c r="F804" t="s">
        <v>41</v>
      </c>
      <c r="G804" t="s">
        <v>42</v>
      </c>
      <c r="H804" t="s">
        <v>13</v>
      </c>
      <c r="I804" t="s">
        <v>14</v>
      </c>
      <c r="J804" t="s">
        <v>19</v>
      </c>
      <c r="K804">
        <v>7061</v>
      </c>
      <c r="L804">
        <v>30</v>
      </c>
      <c r="M804">
        <v>211830</v>
      </c>
      <c r="N804" t="s">
        <v>16</v>
      </c>
    </row>
    <row r="805" spans="5:14" x14ac:dyDescent="0.35">
      <c r="E805" t="s">
        <v>56</v>
      </c>
      <c r="F805" t="s">
        <v>41</v>
      </c>
      <c r="G805" t="s">
        <v>42</v>
      </c>
      <c r="H805" t="s">
        <v>13</v>
      </c>
      <c r="I805" t="s">
        <v>14</v>
      </c>
      <c r="J805" t="s">
        <v>20</v>
      </c>
      <c r="K805">
        <v>9265</v>
      </c>
      <c r="L805">
        <v>15</v>
      </c>
      <c r="M805">
        <v>138975</v>
      </c>
      <c r="N805" t="s">
        <v>16</v>
      </c>
    </row>
    <row r="806" spans="5:14" x14ac:dyDescent="0.35">
      <c r="E806" t="s">
        <v>56</v>
      </c>
      <c r="F806" t="s">
        <v>41</v>
      </c>
      <c r="G806" t="s">
        <v>42</v>
      </c>
      <c r="H806" t="s">
        <v>22</v>
      </c>
      <c r="I806" t="s">
        <v>23</v>
      </c>
      <c r="J806" t="s">
        <v>24</v>
      </c>
      <c r="K806">
        <v>13250</v>
      </c>
      <c r="L806">
        <v>2</v>
      </c>
      <c r="M806">
        <v>26500</v>
      </c>
      <c r="N806" t="s">
        <v>18</v>
      </c>
    </row>
    <row r="807" spans="5:14" x14ac:dyDescent="0.35">
      <c r="E807" t="s">
        <v>56</v>
      </c>
      <c r="F807" t="s">
        <v>41</v>
      </c>
      <c r="G807" t="s">
        <v>42</v>
      </c>
      <c r="H807" t="s">
        <v>22</v>
      </c>
      <c r="I807" t="s">
        <v>23</v>
      </c>
      <c r="J807" t="s">
        <v>25</v>
      </c>
      <c r="K807">
        <v>11032</v>
      </c>
      <c r="L807">
        <v>2</v>
      </c>
      <c r="M807">
        <v>22064</v>
      </c>
      <c r="N807" t="s">
        <v>16</v>
      </c>
    </row>
    <row r="808" spans="5:14" x14ac:dyDescent="0.35">
      <c r="E808" t="s">
        <v>56</v>
      </c>
      <c r="F808" t="s">
        <v>41</v>
      </c>
      <c r="G808" t="s">
        <v>42</v>
      </c>
      <c r="H808" t="s">
        <v>22</v>
      </c>
      <c r="I808" t="s">
        <v>23</v>
      </c>
      <c r="J808" t="s">
        <v>26</v>
      </c>
      <c r="K808">
        <v>11907</v>
      </c>
      <c r="L808">
        <v>5</v>
      </c>
      <c r="M808">
        <v>59535</v>
      </c>
      <c r="N808" t="s">
        <v>16</v>
      </c>
    </row>
    <row r="809" spans="5:14" x14ac:dyDescent="0.35">
      <c r="E809" t="s">
        <v>56</v>
      </c>
      <c r="F809" t="s">
        <v>41</v>
      </c>
      <c r="G809" t="s">
        <v>42</v>
      </c>
      <c r="H809" t="s">
        <v>22</v>
      </c>
      <c r="I809" t="s">
        <v>27</v>
      </c>
      <c r="J809" t="s">
        <v>28</v>
      </c>
      <c r="K809">
        <v>6932</v>
      </c>
      <c r="L809">
        <v>3</v>
      </c>
      <c r="M809">
        <v>20796</v>
      </c>
      <c r="N809" t="s">
        <v>18</v>
      </c>
    </row>
    <row r="810" spans="5:14" x14ac:dyDescent="0.35">
      <c r="E810" t="s">
        <v>56</v>
      </c>
      <c r="F810" t="s">
        <v>43</v>
      </c>
      <c r="G810" t="s">
        <v>42</v>
      </c>
      <c r="H810" t="s">
        <v>13</v>
      </c>
      <c r="I810" t="s">
        <v>14</v>
      </c>
      <c r="J810" t="s">
        <v>15</v>
      </c>
      <c r="K810">
        <v>10282</v>
      </c>
      <c r="L810">
        <v>10</v>
      </c>
      <c r="M810">
        <v>102820</v>
      </c>
      <c r="N810" t="s">
        <v>18</v>
      </c>
    </row>
    <row r="811" spans="5:14" x14ac:dyDescent="0.35">
      <c r="E811" t="s">
        <v>56</v>
      </c>
      <c r="F811" t="s">
        <v>43</v>
      </c>
      <c r="G811" t="s">
        <v>42</v>
      </c>
      <c r="H811" t="s">
        <v>13</v>
      </c>
      <c r="I811" t="s">
        <v>14</v>
      </c>
      <c r="J811" t="s">
        <v>17</v>
      </c>
      <c r="K811">
        <v>7286</v>
      </c>
      <c r="L811">
        <v>20</v>
      </c>
      <c r="M811">
        <v>145720</v>
      </c>
      <c r="N811" t="s">
        <v>18</v>
      </c>
    </row>
    <row r="812" spans="5:14" x14ac:dyDescent="0.35">
      <c r="E812" t="s">
        <v>56</v>
      </c>
      <c r="F812" t="s">
        <v>43</v>
      </c>
      <c r="G812" t="s">
        <v>42</v>
      </c>
      <c r="H812" t="s">
        <v>13</v>
      </c>
      <c r="I812" t="s">
        <v>14</v>
      </c>
      <c r="J812" t="s">
        <v>19</v>
      </c>
      <c r="K812">
        <v>13880</v>
      </c>
      <c r="L812">
        <v>30</v>
      </c>
      <c r="M812">
        <v>416400</v>
      </c>
      <c r="N812" t="s">
        <v>21</v>
      </c>
    </row>
    <row r="813" spans="5:14" x14ac:dyDescent="0.35">
      <c r="E813" t="s">
        <v>56</v>
      </c>
      <c r="F813" t="s">
        <v>43</v>
      </c>
      <c r="G813" t="s">
        <v>42</v>
      </c>
      <c r="H813" t="s">
        <v>13</v>
      </c>
      <c r="I813" t="s">
        <v>14</v>
      </c>
      <c r="J813" t="s">
        <v>20</v>
      </c>
      <c r="K813">
        <v>12268</v>
      </c>
      <c r="L813">
        <v>15</v>
      </c>
      <c r="M813">
        <v>184020</v>
      </c>
      <c r="N813" t="s">
        <v>16</v>
      </c>
    </row>
    <row r="814" spans="5:14" x14ac:dyDescent="0.35">
      <c r="E814" t="s">
        <v>56</v>
      </c>
      <c r="F814" t="s">
        <v>43</v>
      </c>
      <c r="G814" t="s">
        <v>42</v>
      </c>
      <c r="H814" t="s">
        <v>22</v>
      </c>
      <c r="I814" t="s">
        <v>23</v>
      </c>
      <c r="J814" t="s">
        <v>24</v>
      </c>
      <c r="K814">
        <v>11317</v>
      </c>
      <c r="L814">
        <v>2</v>
      </c>
      <c r="M814">
        <v>22634</v>
      </c>
      <c r="N814" t="s">
        <v>16</v>
      </c>
    </row>
    <row r="815" spans="5:14" x14ac:dyDescent="0.35">
      <c r="E815" t="s">
        <v>56</v>
      </c>
      <c r="F815" t="s">
        <v>43</v>
      </c>
      <c r="G815" t="s">
        <v>42</v>
      </c>
      <c r="H815" t="s">
        <v>22</v>
      </c>
      <c r="I815" t="s">
        <v>23</v>
      </c>
      <c r="J815" t="s">
        <v>25</v>
      </c>
      <c r="K815">
        <v>10291</v>
      </c>
      <c r="L815">
        <v>2</v>
      </c>
      <c r="M815">
        <v>20582</v>
      </c>
      <c r="N815" t="s">
        <v>18</v>
      </c>
    </row>
    <row r="816" spans="5:14" x14ac:dyDescent="0.35">
      <c r="E816" t="s">
        <v>56</v>
      </c>
      <c r="F816" t="s">
        <v>43</v>
      </c>
      <c r="G816" t="s">
        <v>42</v>
      </c>
      <c r="H816" t="s">
        <v>22</v>
      </c>
      <c r="I816" t="s">
        <v>23</v>
      </c>
      <c r="J816" t="s">
        <v>26</v>
      </c>
      <c r="K816">
        <v>11796</v>
      </c>
      <c r="L816">
        <v>5</v>
      </c>
      <c r="M816">
        <v>58980</v>
      </c>
      <c r="N816" t="s">
        <v>18</v>
      </c>
    </row>
    <row r="817" spans="5:14" x14ac:dyDescent="0.35">
      <c r="E817" t="s">
        <v>56</v>
      </c>
      <c r="F817" t="s">
        <v>43</v>
      </c>
      <c r="G817" t="s">
        <v>42</v>
      </c>
      <c r="H817" t="s">
        <v>22</v>
      </c>
      <c r="I817" t="s">
        <v>27</v>
      </c>
      <c r="J817" t="s">
        <v>28</v>
      </c>
      <c r="K817">
        <v>15516</v>
      </c>
      <c r="L817">
        <v>3</v>
      </c>
      <c r="M817">
        <v>46548</v>
      </c>
      <c r="N817" t="s">
        <v>18</v>
      </c>
    </row>
    <row r="818" spans="5:14" x14ac:dyDescent="0.35">
      <c r="E818" t="s">
        <v>56</v>
      </c>
      <c r="F818" t="s">
        <v>44</v>
      </c>
      <c r="G818" t="s">
        <v>42</v>
      </c>
      <c r="H818" t="s">
        <v>13</v>
      </c>
      <c r="I818" t="s">
        <v>14</v>
      </c>
      <c r="J818" t="s">
        <v>15</v>
      </c>
      <c r="K818">
        <v>9308</v>
      </c>
      <c r="L818">
        <v>10</v>
      </c>
      <c r="M818">
        <v>93080</v>
      </c>
      <c r="N818" t="s">
        <v>16</v>
      </c>
    </row>
    <row r="819" spans="5:14" x14ac:dyDescent="0.35">
      <c r="E819" t="s">
        <v>56</v>
      </c>
      <c r="F819" t="s">
        <v>44</v>
      </c>
      <c r="G819" t="s">
        <v>42</v>
      </c>
      <c r="H819" t="s">
        <v>13</v>
      </c>
      <c r="I819" t="s">
        <v>14</v>
      </c>
      <c r="J819" t="s">
        <v>17</v>
      </c>
      <c r="K819">
        <v>8083</v>
      </c>
      <c r="L819">
        <v>20</v>
      </c>
      <c r="M819">
        <v>161660</v>
      </c>
      <c r="N819" t="s">
        <v>18</v>
      </c>
    </row>
    <row r="820" spans="5:14" x14ac:dyDescent="0.35">
      <c r="E820" t="s">
        <v>56</v>
      </c>
      <c r="F820" t="s">
        <v>44</v>
      </c>
      <c r="G820" t="s">
        <v>42</v>
      </c>
      <c r="H820" t="s">
        <v>13</v>
      </c>
      <c r="I820" t="s">
        <v>14</v>
      </c>
      <c r="J820" t="s">
        <v>19</v>
      </c>
      <c r="K820">
        <v>13437</v>
      </c>
      <c r="L820">
        <v>30</v>
      </c>
      <c r="M820">
        <v>403110</v>
      </c>
      <c r="N820" t="s">
        <v>21</v>
      </c>
    </row>
    <row r="821" spans="5:14" x14ac:dyDescent="0.35">
      <c r="E821" t="s">
        <v>56</v>
      </c>
      <c r="F821" t="s">
        <v>44</v>
      </c>
      <c r="G821" t="s">
        <v>42</v>
      </c>
      <c r="H821" t="s">
        <v>13</v>
      </c>
      <c r="I821" t="s">
        <v>14</v>
      </c>
      <c r="J821" t="s">
        <v>20</v>
      </c>
      <c r="K821">
        <v>14573</v>
      </c>
      <c r="L821">
        <v>15</v>
      </c>
      <c r="M821">
        <v>218595</v>
      </c>
      <c r="N821" t="s">
        <v>18</v>
      </c>
    </row>
    <row r="822" spans="5:14" x14ac:dyDescent="0.35">
      <c r="E822" t="s">
        <v>56</v>
      </c>
      <c r="F822" t="s">
        <v>44</v>
      </c>
      <c r="G822" t="s">
        <v>42</v>
      </c>
      <c r="H822" t="s">
        <v>22</v>
      </c>
      <c r="I822" t="s">
        <v>23</v>
      </c>
      <c r="J822" t="s">
        <v>24</v>
      </c>
      <c r="K822">
        <v>10746</v>
      </c>
      <c r="L822">
        <v>2</v>
      </c>
      <c r="M822">
        <v>21492</v>
      </c>
      <c r="N822" t="s">
        <v>16</v>
      </c>
    </row>
    <row r="823" spans="5:14" x14ac:dyDescent="0.35">
      <c r="E823" t="s">
        <v>56</v>
      </c>
      <c r="F823" t="s">
        <v>44</v>
      </c>
      <c r="G823" t="s">
        <v>42</v>
      </c>
      <c r="H823" t="s">
        <v>22</v>
      </c>
      <c r="I823" t="s">
        <v>23</v>
      </c>
      <c r="J823" t="s">
        <v>25</v>
      </c>
      <c r="K823">
        <v>13153</v>
      </c>
      <c r="L823">
        <v>2</v>
      </c>
      <c r="M823">
        <v>26306</v>
      </c>
      <c r="N823" t="s">
        <v>21</v>
      </c>
    </row>
    <row r="824" spans="5:14" x14ac:dyDescent="0.35">
      <c r="E824" t="s">
        <v>56</v>
      </c>
      <c r="F824" t="s">
        <v>44</v>
      </c>
      <c r="G824" t="s">
        <v>42</v>
      </c>
      <c r="H824" t="s">
        <v>22</v>
      </c>
      <c r="I824" t="s">
        <v>23</v>
      </c>
      <c r="J824" t="s">
        <v>26</v>
      </c>
      <c r="K824">
        <v>10862</v>
      </c>
      <c r="L824">
        <v>5</v>
      </c>
      <c r="M824">
        <v>54310</v>
      </c>
      <c r="N824" t="s">
        <v>18</v>
      </c>
    </row>
    <row r="825" spans="5:14" x14ac:dyDescent="0.35">
      <c r="E825" t="s">
        <v>56</v>
      </c>
      <c r="F825" t="s">
        <v>44</v>
      </c>
      <c r="G825" t="s">
        <v>42</v>
      </c>
      <c r="H825" t="s">
        <v>22</v>
      </c>
      <c r="I825" t="s">
        <v>27</v>
      </c>
      <c r="J825" t="s">
        <v>28</v>
      </c>
      <c r="K825">
        <v>8988</v>
      </c>
      <c r="L825">
        <v>3</v>
      </c>
      <c r="M825">
        <v>26964</v>
      </c>
      <c r="N825" t="s">
        <v>21</v>
      </c>
    </row>
    <row r="826" spans="5:14" x14ac:dyDescent="0.35">
      <c r="E826" t="s">
        <v>56</v>
      </c>
      <c r="F826" t="s">
        <v>45</v>
      </c>
      <c r="G826" t="s">
        <v>42</v>
      </c>
      <c r="H826" t="s">
        <v>13</v>
      </c>
      <c r="I826" t="s">
        <v>14</v>
      </c>
      <c r="J826" t="s">
        <v>15</v>
      </c>
      <c r="K826">
        <v>12840</v>
      </c>
      <c r="L826">
        <v>10</v>
      </c>
      <c r="M826">
        <v>128400</v>
      </c>
      <c r="N826" t="s">
        <v>16</v>
      </c>
    </row>
    <row r="827" spans="5:14" x14ac:dyDescent="0.35">
      <c r="E827" t="s">
        <v>56</v>
      </c>
      <c r="F827" t="s">
        <v>45</v>
      </c>
      <c r="G827" t="s">
        <v>42</v>
      </c>
      <c r="H827" t="s">
        <v>13</v>
      </c>
      <c r="I827" t="s">
        <v>14</v>
      </c>
      <c r="J827" t="s">
        <v>17</v>
      </c>
      <c r="K827">
        <v>11688</v>
      </c>
      <c r="L827">
        <v>20</v>
      </c>
      <c r="M827">
        <v>233760</v>
      </c>
      <c r="N827" t="s">
        <v>18</v>
      </c>
    </row>
    <row r="828" spans="5:14" x14ac:dyDescent="0.35">
      <c r="E828" t="s">
        <v>56</v>
      </c>
      <c r="F828" t="s">
        <v>45</v>
      </c>
      <c r="G828" t="s">
        <v>42</v>
      </c>
      <c r="H828" t="s">
        <v>13</v>
      </c>
      <c r="I828" t="s">
        <v>14</v>
      </c>
      <c r="J828" t="s">
        <v>19</v>
      </c>
      <c r="K828">
        <v>10338</v>
      </c>
      <c r="L828">
        <v>30</v>
      </c>
      <c r="M828">
        <v>310140</v>
      </c>
      <c r="N828" t="s">
        <v>18</v>
      </c>
    </row>
    <row r="829" spans="5:14" x14ac:dyDescent="0.35">
      <c r="E829" t="s">
        <v>56</v>
      </c>
      <c r="F829" t="s">
        <v>45</v>
      </c>
      <c r="G829" t="s">
        <v>42</v>
      </c>
      <c r="H829" t="s">
        <v>13</v>
      </c>
      <c r="I829" t="s">
        <v>14</v>
      </c>
      <c r="J829" t="s">
        <v>20</v>
      </c>
      <c r="K829">
        <v>7839</v>
      </c>
      <c r="L829">
        <v>15</v>
      </c>
      <c r="M829">
        <v>117585</v>
      </c>
      <c r="N829" t="s">
        <v>18</v>
      </c>
    </row>
    <row r="830" spans="5:14" x14ac:dyDescent="0.35">
      <c r="E830" t="s">
        <v>56</v>
      </c>
      <c r="F830" t="s">
        <v>45</v>
      </c>
      <c r="G830" t="s">
        <v>42</v>
      </c>
      <c r="H830" t="s">
        <v>22</v>
      </c>
      <c r="I830" t="s">
        <v>23</v>
      </c>
      <c r="J830" t="s">
        <v>24</v>
      </c>
      <c r="K830">
        <v>19450</v>
      </c>
      <c r="L830">
        <v>2</v>
      </c>
      <c r="M830">
        <v>38900</v>
      </c>
      <c r="N830" t="s">
        <v>21</v>
      </c>
    </row>
    <row r="831" spans="5:14" x14ac:dyDescent="0.35">
      <c r="E831" t="s">
        <v>56</v>
      </c>
      <c r="F831" t="s">
        <v>45</v>
      </c>
      <c r="G831" t="s">
        <v>42</v>
      </c>
      <c r="H831" t="s">
        <v>22</v>
      </c>
      <c r="I831" t="s">
        <v>23</v>
      </c>
      <c r="J831" t="s">
        <v>25</v>
      </c>
      <c r="K831">
        <v>15966</v>
      </c>
      <c r="L831">
        <v>2</v>
      </c>
      <c r="M831">
        <v>31932</v>
      </c>
      <c r="N831" t="s">
        <v>16</v>
      </c>
    </row>
    <row r="832" spans="5:14" x14ac:dyDescent="0.35">
      <c r="E832" t="s">
        <v>56</v>
      </c>
      <c r="F832" t="s">
        <v>45</v>
      </c>
      <c r="G832" t="s">
        <v>42</v>
      </c>
      <c r="H832" t="s">
        <v>22</v>
      </c>
      <c r="I832" t="s">
        <v>23</v>
      </c>
      <c r="J832" t="s">
        <v>26</v>
      </c>
      <c r="K832">
        <v>16510</v>
      </c>
      <c r="L832">
        <v>5</v>
      </c>
      <c r="M832">
        <v>82550</v>
      </c>
      <c r="N832" t="s">
        <v>21</v>
      </c>
    </row>
    <row r="833" spans="5:14" x14ac:dyDescent="0.35">
      <c r="E833" t="s">
        <v>56</v>
      </c>
      <c r="F833" t="s">
        <v>45</v>
      </c>
      <c r="G833" t="s">
        <v>42</v>
      </c>
      <c r="H833" t="s">
        <v>22</v>
      </c>
      <c r="I833" t="s">
        <v>27</v>
      </c>
      <c r="J833" t="s">
        <v>28</v>
      </c>
      <c r="K833">
        <v>11927</v>
      </c>
      <c r="L833">
        <v>3</v>
      </c>
      <c r="M833">
        <v>35781</v>
      </c>
      <c r="N833" t="s">
        <v>21</v>
      </c>
    </row>
    <row r="834" spans="5:14" x14ac:dyDescent="0.35">
      <c r="E834" t="s">
        <v>56</v>
      </c>
      <c r="F834" t="s">
        <v>46</v>
      </c>
      <c r="G834" t="s">
        <v>42</v>
      </c>
      <c r="H834" t="s">
        <v>13</v>
      </c>
      <c r="I834" t="s">
        <v>14</v>
      </c>
      <c r="J834" t="s">
        <v>15</v>
      </c>
      <c r="K834">
        <v>5927</v>
      </c>
      <c r="L834">
        <v>10</v>
      </c>
      <c r="M834">
        <v>59270</v>
      </c>
      <c r="N834" t="s">
        <v>21</v>
      </c>
    </row>
    <row r="835" spans="5:14" x14ac:dyDescent="0.35">
      <c r="E835" t="s">
        <v>56</v>
      </c>
      <c r="F835" t="s">
        <v>46</v>
      </c>
      <c r="G835" t="s">
        <v>42</v>
      </c>
      <c r="H835" t="s">
        <v>13</v>
      </c>
      <c r="I835" t="s">
        <v>14</v>
      </c>
      <c r="J835" t="s">
        <v>17</v>
      </c>
      <c r="K835">
        <v>9630</v>
      </c>
      <c r="L835">
        <v>20</v>
      </c>
      <c r="M835">
        <v>192600</v>
      </c>
      <c r="N835" t="s">
        <v>21</v>
      </c>
    </row>
    <row r="836" spans="5:14" x14ac:dyDescent="0.35">
      <c r="E836" t="s">
        <v>56</v>
      </c>
      <c r="F836" t="s">
        <v>46</v>
      </c>
      <c r="G836" t="s">
        <v>42</v>
      </c>
      <c r="H836" t="s">
        <v>13</v>
      </c>
      <c r="I836" t="s">
        <v>14</v>
      </c>
      <c r="J836" t="s">
        <v>19</v>
      </c>
      <c r="K836">
        <v>7946</v>
      </c>
      <c r="L836">
        <v>30</v>
      </c>
      <c r="M836">
        <v>238380</v>
      </c>
      <c r="N836" t="s">
        <v>16</v>
      </c>
    </row>
    <row r="837" spans="5:14" x14ac:dyDescent="0.35">
      <c r="E837" t="s">
        <v>56</v>
      </c>
      <c r="F837" t="s">
        <v>46</v>
      </c>
      <c r="G837" t="s">
        <v>42</v>
      </c>
      <c r="H837" t="s">
        <v>13</v>
      </c>
      <c r="I837" t="s">
        <v>14</v>
      </c>
      <c r="J837" t="s">
        <v>20</v>
      </c>
      <c r="K837">
        <v>5619</v>
      </c>
      <c r="L837">
        <v>15</v>
      </c>
      <c r="M837">
        <v>84285</v>
      </c>
      <c r="N837" t="s">
        <v>16</v>
      </c>
    </row>
    <row r="838" spans="5:14" x14ac:dyDescent="0.35">
      <c r="E838" t="s">
        <v>56</v>
      </c>
      <c r="F838" t="s">
        <v>46</v>
      </c>
      <c r="G838" t="s">
        <v>42</v>
      </c>
      <c r="H838" t="s">
        <v>22</v>
      </c>
      <c r="I838" t="s">
        <v>23</v>
      </c>
      <c r="J838" t="s">
        <v>24</v>
      </c>
      <c r="K838">
        <v>10844</v>
      </c>
      <c r="L838">
        <v>2</v>
      </c>
      <c r="M838">
        <v>21688</v>
      </c>
      <c r="N838" t="s">
        <v>16</v>
      </c>
    </row>
    <row r="839" spans="5:14" x14ac:dyDescent="0.35">
      <c r="E839" t="s">
        <v>56</v>
      </c>
      <c r="F839" t="s">
        <v>46</v>
      </c>
      <c r="G839" t="s">
        <v>42</v>
      </c>
      <c r="H839" t="s">
        <v>22</v>
      </c>
      <c r="I839" t="s">
        <v>23</v>
      </c>
      <c r="J839" t="s">
        <v>25</v>
      </c>
      <c r="K839">
        <v>8214</v>
      </c>
      <c r="L839">
        <v>2</v>
      </c>
      <c r="M839">
        <v>16428</v>
      </c>
      <c r="N839" t="s">
        <v>18</v>
      </c>
    </row>
    <row r="840" spans="5:14" x14ac:dyDescent="0.35">
      <c r="E840" t="s">
        <v>56</v>
      </c>
      <c r="F840" t="s">
        <v>46</v>
      </c>
      <c r="G840" t="s">
        <v>42</v>
      </c>
      <c r="H840" t="s">
        <v>22</v>
      </c>
      <c r="I840" t="s">
        <v>23</v>
      </c>
      <c r="J840" t="s">
        <v>26</v>
      </c>
      <c r="K840">
        <v>13722</v>
      </c>
      <c r="L840">
        <v>5</v>
      </c>
      <c r="M840">
        <v>68610</v>
      </c>
      <c r="N840" t="s">
        <v>21</v>
      </c>
    </row>
    <row r="841" spans="5:14" x14ac:dyDescent="0.35">
      <c r="E841" t="s">
        <v>56</v>
      </c>
      <c r="F841" t="s">
        <v>46</v>
      </c>
      <c r="G841" t="s">
        <v>42</v>
      </c>
      <c r="H841" t="s">
        <v>22</v>
      </c>
      <c r="I841" t="s">
        <v>27</v>
      </c>
      <c r="J841" t="s">
        <v>28</v>
      </c>
      <c r="K841">
        <v>15585</v>
      </c>
      <c r="L841">
        <v>3</v>
      </c>
      <c r="M841">
        <v>46755</v>
      </c>
      <c r="N841" t="s">
        <v>16</v>
      </c>
    </row>
    <row r="842" spans="5:14" x14ac:dyDescent="0.35">
      <c r="E842" t="s">
        <v>56</v>
      </c>
      <c r="F842" t="s">
        <v>47</v>
      </c>
      <c r="G842" t="s">
        <v>48</v>
      </c>
      <c r="H842" t="s">
        <v>13</v>
      </c>
      <c r="I842" t="s">
        <v>14</v>
      </c>
      <c r="J842" t="s">
        <v>15</v>
      </c>
      <c r="K842">
        <v>13671</v>
      </c>
      <c r="L842">
        <v>10</v>
      </c>
      <c r="M842">
        <v>136710</v>
      </c>
      <c r="N842" t="s">
        <v>18</v>
      </c>
    </row>
    <row r="843" spans="5:14" x14ac:dyDescent="0.35">
      <c r="E843" t="s">
        <v>56</v>
      </c>
      <c r="F843" t="s">
        <v>47</v>
      </c>
      <c r="G843" t="s">
        <v>48</v>
      </c>
      <c r="H843" t="s">
        <v>13</v>
      </c>
      <c r="I843" t="s">
        <v>14</v>
      </c>
      <c r="J843" t="s">
        <v>17</v>
      </c>
      <c r="K843">
        <v>10785</v>
      </c>
      <c r="L843">
        <v>20</v>
      </c>
      <c r="M843">
        <v>215700</v>
      </c>
      <c r="N843" t="s">
        <v>21</v>
      </c>
    </row>
    <row r="844" spans="5:14" x14ac:dyDescent="0.35">
      <c r="E844" t="s">
        <v>56</v>
      </c>
      <c r="F844" t="s">
        <v>47</v>
      </c>
      <c r="G844" t="s">
        <v>48</v>
      </c>
      <c r="H844" t="s">
        <v>13</v>
      </c>
      <c r="I844" t="s">
        <v>14</v>
      </c>
      <c r="J844" t="s">
        <v>19</v>
      </c>
      <c r="K844">
        <v>14445</v>
      </c>
      <c r="L844">
        <v>30</v>
      </c>
      <c r="M844">
        <v>433350</v>
      </c>
      <c r="N844" t="s">
        <v>18</v>
      </c>
    </row>
    <row r="845" spans="5:14" x14ac:dyDescent="0.35">
      <c r="E845" t="s">
        <v>56</v>
      </c>
      <c r="F845" t="s">
        <v>47</v>
      </c>
      <c r="G845" t="s">
        <v>48</v>
      </c>
      <c r="H845" t="s">
        <v>13</v>
      </c>
      <c r="I845" t="s">
        <v>14</v>
      </c>
      <c r="J845" t="s">
        <v>20</v>
      </c>
      <c r="K845">
        <v>13221</v>
      </c>
      <c r="L845">
        <v>15</v>
      </c>
      <c r="M845">
        <v>198315</v>
      </c>
      <c r="N845" t="s">
        <v>18</v>
      </c>
    </row>
    <row r="846" spans="5:14" x14ac:dyDescent="0.35">
      <c r="E846" t="s">
        <v>56</v>
      </c>
      <c r="F846" t="s">
        <v>47</v>
      </c>
      <c r="G846" t="s">
        <v>48</v>
      </c>
      <c r="H846" t="s">
        <v>22</v>
      </c>
      <c r="I846" t="s">
        <v>23</v>
      </c>
      <c r="J846" t="s">
        <v>24</v>
      </c>
      <c r="K846">
        <v>18047</v>
      </c>
      <c r="L846">
        <v>2</v>
      </c>
      <c r="M846">
        <v>36094</v>
      </c>
      <c r="N846" t="s">
        <v>16</v>
      </c>
    </row>
    <row r="847" spans="5:14" x14ac:dyDescent="0.35">
      <c r="E847" t="s">
        <v>56</v>
      </c>
      <c r="F847" t="s">
        <v>47</v>
      </c>
      <c r="G847" t="s">
        <v>48</v>
      </c>
      <c r="H847" t="s">
        <v>22</v>
      </c>
      <c r="I847" t="s">
        <v>23</v>
      </c>
      <c r="J847" t="s">
        <v>25</v>
      </c>
      <c r="K847">
        <v>17995</v>
      </c>
      <c r="L847">
        <v>2</v>
      </c>
      <c r="M847">
        <v>35990</v>
      </c>
      <c r="N847" t="s">
        <v>21</v>
      </c>
    </row>
    <row r="848" spans="5:14" x14ac:dyDescent="0.35">
      <c r="E848" t="s">
        <v>56</v>
      </c>
      <c r="F848" t="s">
        <v>47</v>
      </c>
      <c r="G848" t="s">
        <v>48</v>
      </c>
      <c r="H848" t="s">
        <v>22</v>
      </c>
      <c r="I848" t="s">
        <v>23</v>
      </c>
      <c r="J848" t="s">
        <v>26</v>
      </c>
      <c r="K848">
        <v>9930</v>
      </c>
      <c r="L848">
        <v>5</v>
      </c>
      <c r="M848">
        <v>49650</v>
      </c>
      <c r="N848" t="s">
        <v>16</v>
      </c>
    </row>
    <row r="849" spans="5:14" x14ac:dyDescent="0.35">
      <c r="E849" t="s">
        <v>56</v>
      </c>
      <c r="F849" t="s">
        <v>47</v>
      </c>
      <c r="G849" t="s">
        <v>48</v>
      </c>
      <c r="H849" t="s">
        <v>22</v>
      </c>
      <c r="I849" t="s">
        <v>27</v>
      </c>
      <c r="J849" t="s">
        <v>28</v>
      </c>
      <c r="K849">
        <v>16019</v>
      </c>
      <c r="L849">
        <v>3</v>
      </c>
      <c r="M849">
        <v>48057</v>
      </c>
      <c r="N849" t="s">
        <v>21</v>
      </c>
    </row>
    <row r="850" spans="5:14" x14ac:dyDescent="0.35">
      <c r="E850" t="s">
        <v>56</v>
      </c>
      <c r="F850" t="s">
        <v>49</v>
      </c>
      <c r="G850" t="s">
        <v>48</v>
      </c>
      <c r="H850" t="s">
        <v>13</v>
      </c>
      <c r="I850" t="s">
        <v>14</v>
      </c>
      <c r="J850" t="s">
        <v>15</v>
      </c>
      <c r="K850">
        <v>6134</v>
      </c>
      <c r="L850">
        <v>10</v>
      </c>
      <c r="M850">
        <v>61340</v>
      </c>
      <c r="N850" t="s">
        <v>18</v>
      </c>
    </row>
    <row r="851" spans="5:14" x14ac:dyDescent="0.35">
      <c r="E851" t="s">
        <v>56</v>
      </c>
      <c r="F851" t="s">
        <v>49</v>
      </c>
      <c r="G851" t="s">
        <v>48</v>
      </c>
      <c r="H851" t="s">
        <v>13</v>
      </c>
      <c r="I851" t="s">
        <v>14</v>
      </c>
      <c r="J851" t="s">
        <v>17</v>
      </c>
      <c r="K851">
        <v>14127</v>
      </c>
      <c r="L851">
        <v>20</v>
      </c>
      <c r="M851">
        <v>282540</v>
      </c>
      <c r="N851" t="s">
        <v>18</v>
      </c>
    </row>
    <row r="852" spans="5:14" x14ac:dyDescent="0.35">
      <c r="E852" t="s">
        <v>56</v>
      </c>
      <c r="F852" t="s">
        <v>49</v>
      </c>
      <c r="G852" t="s">
        <v>48</v>
      </c>
      <c r="H852" t="s">
        <v>13</v>
      </c>
      <c r="I852" t="s">
        <v>14</v>
      </c>
      <c r="J852" t="s">
        <v>19</v>
      </c>
      <c r="K852">
        <v>5570</v>
      </c>
      <c r="L852">
        <v>30</v>
      </c>
      <c r="M852">
        <v>167100</v>
      </c>
      <c r="N852" t="s">
        <v>21</v>
      </c>
    </row>
    <row r="853" spans="5:14" x14ac:dyDescent="0.35">
      <c r="E853" t="s">
        <v>56</v>
      </c>
      <c r="F853" t="s">
        <v>49</v>
      </c>
      <c r="G853" t="s">
        <v>48</v>
      </c>
      <c r="H853" t="s">
        <v>13</v>
      </c>
      <c r="I853" t="s">
        <v>14</v>
      </c>
      <c r="J853" t="s">
        <v>20</v>
      </c>
      <c r="K853">
        <v>5420</v>
      </c>
      <c r="L853">
        <v>15</v>
      </c>
      <c r="M853">
        <v>81300</v>
      </c>
      <c r="N853" t="s">
        <v>21</v>
      </c>
    </row>
    <row r="854" spans="5:14" x14ac:dyDescent="0.35">
      <c r="E854" t="s">
        <v>56</v>
      </c>
      <c r="F854" t="s">
        <v>49</v>
      </c>
      <c r="G854" t="s">
        <v>48</v>
      </c>
      <c r="H854" t="s">
        <v>22</v>
      </c>
      <c r="I854" t="s">
        <v>23</v>
      </c>
      <c r="J854" t="s">
        <v>24</v>
      </c>
      <c r="K854">
        <v>15937</v>
      </c>
      <c r="L854">
        <v>2</v>
      </c>
      <c r="M854">
        <v>31874</v>
      </c>
      <c r="N854" t="s">
        <v>18</v>
      </c>
    </row>
    <row r="855" spans="5:14" x14ac:dyDescent="0.35">
      <c r="E855" t="s">
        <v>56</v>
      </c>
      <c r="F855" t="s">
        <v>49</v>
      </c>
      <c r="G855" t="s">
        <v>48</v>
      </c>
      <c r="H855" t="s">
        <v>22</v>
      </c>
      <c r="I855" t="s">
        <v>23</v>
      </c>
      <c r="J855" t="s">
        <v>25</v>
      </c>
      <c r="K855">
        <v>15410</v>
      </c>
      <c r="L855">
        <v>2</v>
      </c>
      <c r="M855">
        <v>30820</v>
      </c>
      <c r="N855" t="s">
        <v>21</v>
      </c>
    </row>
    <row r="856" spans="5:14" x14ac:dyDescent="0.35">
      <c r="E856" t="s">
        <v>56</v>
      </c>
      <c r="F856" t="s">
        <v>49</v>
      </c>
      <c r="G856" t="s">
        <v>48</v>
      </c>
      <c r="H856" t="s">
        <v>22</v>
      </c>
      <c r="I856" t="s">
        <v>23</v>
      </c>
      <c r="J856" t="s">
        <v>26</v>
      </c>
      <c r="K856">
        <v>12142</v>
      </c>
      <c r="L856">
        <v>5</v>
      </c>
      <c r="M856">
        <v>60710</v>
      </c>
      <c r="N856" t="s">
        <v>18</v>
      </c>
    </row>
    <row r="857" spans="5:14" x14ac:dyDescent="0.35">
      <c r="E857" t="s">
        <v>56</v>
      </c>
      <c r="F857" t="s">
        <v>49</v>
      </c>
      <c r="G857" t="s">
        <v>48</v>
      </c>
      <c r="H857" t="s">
        <v>22</v>
      </c>
      <c r="I857" t="s">
        <v>27</v>
      </c>
      <c r="J857" t="s">
        <v>28</v>
      </c>
      <c r="K857">
        <v>6639</v>
      </c>
      <c r="L857">
        <v>3</v>
      </c>
      <c r="M857">
        <v>19917</v>
      </c>
      <c r="N857" t="s">
        <v>18</v>
      </c>
    </row>
    <row r="858" spans="5:14" x14ac:dyDescent="0.35">
      <c r="E858" t="s">
        <v>56</v>
      </c>
      <c r="F858" t="s">
        <v>50</v>
      </c>
      <c r="G858" t="s">
        <v>48</v>
      </c>
      <c r="H858" t="s">
        <v>13</v>
      </c>
      <c r="I858" t="s">
        <v>14</v>
      </c>
      <c r="J858" t="s">
        <v>15</v>
      </c>
      <c r="K858">
        <v>8757</v>
      </c>
      <c r="L858">
        <v>10</v>
      </c>
      <c r="M858">
        <v>87570</v>
      </c>
      <c r="N858" t="s">
        <v>21</v>
      </c>
    </row>
    <row r="859" spans="5:14" x14ac:dyDescent="0.35">
      <c r="E859" t="s">
        <v>56</v>
      </c>
      <c r="F859" t="s">
        <v>50</v>
      </c>
      <c r="G859" t="s">
        <v>48</v>
      </c>
      <c r="H859" t="s">
        <v>13</v>
      </c>
      <c r="I859" t="s">
        <v>14</v>
      </c>
      <c r="J859" t="s">
        <v>17</v>
      </c>
      <c r="K859">
        <v>8000</v>
      </c>
      <c r="L859">
        <v>20</v>
      </c>
      <c r="M859">
        <v>160000</v>
      </c>
      <c r="N859" t="s">
        <v>18</v>
      </c>
    </row>
    <row r="860" spans="5:14" x14ac:dyDescent="0.35">
      <c r="E860" t="s">
        <v>56</v>
      </c>
      <c r="F860" t="s">
        <v>50</v>
      </c>
      <c r="G860" t="s">
        <v>48</v>
      </c>
      <c r="H860" t="s">
        <v>13</v>
      </c>
      <c r="I860" t="s">
        <v>14</v>
      </c>
      <c r="J860" t="s">
        <v>19</v>
      </c>
      <c r="K860">
        <v>11714</v>
      </c>
      <c r="L860">
        <v>30</v>
      </c>
      <c r="M860">
        <v>351420</v>
      </c>
      <c r="N860" t="s">
        <v>16</v>
      </c>
    </row>
    <row r="861" spans="5:14" x14ac:dyDescent="0.35">
      <c r="E861" t="s">
        <v>56</v>
      </c>
      <c r="F861" t="s">
        <v>50</v>
      </c>
      <c r="G861" t="s">
        <v>48</v>
      </c>
      <c r="H861" t="s">
        <v>13</v>
      </c>
      <c r="I861" t="s">
        <v>14</v>
      </c>
      <c r="J861" t="s">
        <v>20</v>
      </c>
      <c r="K861">
        <v>7687</v>
      </c>
      <c r="L861">
        <v>15</v>
      </c>
      <c r="M861">
        <v>115305</v>
      </c>
      <c r="N861" t="s">
        <v>18</v>
      </c>
    </row>
    <row r="862" spans="5:14" x14ac:dyDescent="0.35">
      <c r="E862" t="s">
        <v>56</v>
      </c>
      <c r="F862" t="s">
        <v>50</v>
      </c>
      <c r="G862" t="s">
        <v>48</v>
      </c>
      <c r="H862" t="s">
        <v>22</v>
      </c>
      <c r="I862" t="s">
        <v>23</v>
      </c>
      <c r="J862" t="s">
        <v>24</v>
      </c>
      <c r="K862">
        <v>18386</v>
      </c>
      <c r="L862">
        <v>2</v>
      </c>
      <c r="M862">
        <v>36772</v>
      </c>
      <c r="N862" t="s">
        <v>21</v>
      </c>
    </row>
    <row r="863" spans="5:14" x14ac:dyDescent="0.35">
      <c r="E863" t="s">
        <v>56</v>
      </c>
      <c r="F863" t="s">
        <v>50</v>
      </c>
      <c r="G863" t="s">
        <v>48</v>
      </c>
      <c r="H863" t="s">
        <v>22</v>
      </c>
      <c r="I863" t="s">
        <v>23</v>
      </c>
      <c r="J863" t="s">
        <v>25</v>
      </c>
      <c r="K863">
        <v>7536</v>
      </c>
      <c r="L863">
        <v>2</v>
      </c>
      <c r="M863">
        <v>15072</v>
      </c>
      <c r="N863" t="s">
        <v>18</v>
      </c>
    </row>
    <row r="864" spans="5:14" x14ac:dyDescent="0.35">
      <c r="E864" t="s">
        <v>56</v>
      </c>
      <c r="F864" t="s">
        <v>50</v>
      </c>
      <c r="G864" t="s">
        <v>48</v>
      </c>
      <c r="H864" t="s">
        <v>22</v>
      </c>
      <c r="I864" t="s">
        <v>23</v>
      </c>
      <c r="J864" t="s">
        <v>26</v>
      </c>
      <c r="K864">
        <v>17359</v>
      </c>
      <c r="L864">
        <v>5</v>
      </c>
      <c r="M864">
        <v>86795</v>
      </c>
      <c r="N864" t="s">
        <v>16</v>
      </c>
    </row>
    <row r="865" spans="5:14" x14ac:dyDescent="0.35">
      <c r="E865" t="s">
        <v>56</v>
      </c>
      <c r="F865" t="s">
        <v>50</v>
      </c>
      <c r="G865" t="s">
        <v>48</v>
      </c>
      <c r="H865" t="s">
        <v>22</v>
      </c>
      <c r="I865" t="s">
        <v>27</v>
      </c>
      <c r="J865" t="s">
        <v>28</v>
      </c>
      <c r="K865">
        <v>12193</v>
      </c>
      <c r="L865">
        <v>3</v>
      </c>
      <c r="M865">
        <v>36579</v>
      </c>
      <c r="N865" t="s">
        <v>21</v>
      </c>
    </row>
    <row r="866" spans="5:14" x14ac:dyDescent="0.35">
      <c r="E866" t="s">
        <v>56</v>
      </c>
      <c r="F866" t="s">
        <v>51</v>
      </c>
      <c r="G866" t="s">
        <v>48</v>
      </c>
      <c r="H866" t="s">
        <v>13</v>
      </c>
      <c r="I866" t="s">
        <v>14</v>
      </c>
      <c r="J866" t="s">
        <v>15</v>
      </c>
      <c r="K866">
        <v>10272</v>
      </c>
      <c r="L866">
        <v>10</v>
      </c>
      <c r="M866">
        <v>102720</v>
      </c>
      <c r="N866" t="s">
        <v>16</v>
      </c>
    </row>
    <row r="867" spans="5:14" x14ac:dyDescent="0.35">
      <c r="E867" t="s">
        <v>56</v>
      </c>
      <c r="F867" t="s">
        <v>51</v>
      </c>
      <c r="G867" t="s">
        <v>48</v>
      </c>
      <c r="H867" t="s">
        <v>13</v>
      </c>
      <c r="I867" t="s">
        <v>14</v>
      </c>
      <c r="J867" t="s">
        <v>17</v>
      </c>
      <c r="K867">
        <v>7847</v>
      </c>
      <c r="L867">
        <v>20</v>
      </c>
      <c r="M867">
        <v>156940</v>
      </c>
      <c r="N867" t="s">
        <v>16</v>
      </c>
    </row>
    <row r="868" spans="5:14" x14ac:dyDescent="0.35">
      <c r="E868" t="s">
        <v>56</v>
      </c>
      <c r="F868" t="s">
        <v>51</v>
      </c>
      <c r="G868" t="s">
        <v>48</v>
      </c>
      <c r="H868" t="s">
        <v>13</v>
      </c>
      <c r="I868" t="s">
        <v>14</v>
      </c>
      <c r="J868" t="s">
        <v>19</v>
      </c>
      <c r="K868">
        <v>11283</v>
      </c>
      <c r="L868">
        <v>30</v>
      </c>
      <c r="M868">
        <v>338490</v>
      </c>
      <c r="N868" t="s">
        <v>18</v>
      </c>
    </row>
    <row r="869" spans="5:14" x14ac:dyDescent="0.35">
      <c r="E869" t="s">
        <v>56</v>
      </c>
      <c r="F869" t="s">
        <v>51</v>
      </c>
      <c r="G869" t="s">
        <v>48</v>
      </c>
      <c r="H869" t="s">
        <v>13</v>
      </c>
      <c r="I869" t="s">
        <v>14</v>
      </c>
      <c r="J869" t="s">
        <v>20</v>
      </c>
      <c r="K869">
        <v>14588</v>
      </c>
      <c r="L869">
        <v>15</v>
      </c>
      <c r="M869">
        <v>218820</v>
      </c>
      <c r="N869" t="s">
        <v>21</v>
      </c>
    </row>
    <row r="870" spans="5:14" x14ac:dyDescent="0.35">
      <c r="E870" t="s">
        <v>56</v>
      </c>
      <c r="F870" t="s">
        <v>51</v>
      </c>
      <c r="G870" t="s">
        <v>48</v>
      </c>
      <c r="H870" t="s">
        <v>22</v>
      </c>
      <c r="I870" t="s">
        <v>23</v>
      </c>
      <c r="J870" t="s">
        <v>24</v>
      </c>
      <c r="K870">
        <v>8076</v>
      </c>
      <c r="L870">
        <v>2</v>
      </c>
      <c r="M870">
        <v>16152</v>
      </c>
      <c r="N870" t="s">
        <v>16</v>
      </c>
    </row>
    <row r="871" spans="5:14" x14ac:dyDescent="0.35">
      <c r="E871" t="s">
        <v>56</v>
      </c>
      <c r="F871" t="s">
        <v>51</v>
      </c>
      <c r="G871" t="s">
        <v>48</v>
      </c>
      <c r="H871" t="s">
        <v>22</v>
      </c>
      <c r="I871" t="s">
        <v>23</v>
      </c>
      <c r="J871" t="s">
        <v>25</v>
      </c>
      <c r="K871">
        <v>12887</v>
      </c>
      <c r="L871">
        <v>2</v>
      </c>
      <c r="M871">
        <v>25774</v>
      </c>
      <c r="N871" t="s">
        <v>21</v>
      </c>
    </row>
    <row r="872" spans="5:14" x14ac:dyDescent="0.35">
      <c r="E872" t="s">
        <v>56</v>
      </c>
      <c r="F872" t="s">
        <v>51</v>
      </c>
      <c r="G872" t="s">
        <v>48</v>
      </c>
      <c r="H872" t="s">
        <v>22</v>
      </c>
      <c r="I872" t="s">
        <v>23</v>
      </c>
      <c r="J872" t="s">
        <v>26</v>
      </c>
      <c r="K872">
        <v>15462</v>
      </c>
      <c r="L872">
        <v>5</v>
      </c>
      <c r="M872">
        <v>77310</v>
      </c>
      <c r="N872" t="s">
        <v>21</v>
      </c>
    </row>
    <row r="873" spans="5:14" x14ac:dyDescent="0.35">
      <c r="E873" t="s">
        <v>56</v>
      </c>
      <c r="F873" t="s">
        <v>51</v>
      </c>
      <c r="G873" t="s">
        <v>48</v>
      </c>
      <c r="H873" t="s">
        <v>22</v>
      </c>
      <c r="I873" t="s">
        <v>27</v>
      </c>
      <c r="J873" t="s">
        <v>28</v>
      </c>
      <c r="K873">
        <v>18064</v>
      </c>
      <c r="L873">
        <v>3</v>
      </c>
      <c r="M873">
        <v>54192</v>
      </c>
      <c r="N873" t="s">
        <v>18</v>
      </c>
    </row>
    <row r="874" spans="5:14" x14ac:dyDescent="0.35">
      <c r="E874" t="s">
        <v>56</v>
      </c>
      <c r="F874" t="s">
        <v>52</v>
      </c>
      <c r="G874" t="s">
        <v>48</v>
      </c>
      <c r="H874" t="s">
        <v>13</v>
      </c>
      <c r="I874" t="s">
        <v>14</v>
      </c>
      <c r="J874" t="s">
        <v>15</v>
      </c>
      <c r="K874">
        <v>5194</v>
      </c>
      <c r="L874">
        <v>10</v>
      </c>
      <c r="M874">
        <v>51940</v>
      </c>
      <c r="N874" t="s">
        <v>21</v>
      </c>
    </row>
    <row r="875" spans="5:14" x14ac:dyDescent="0.35">
      <c r="E875" t="s">
        <v>56</v>
      </c>
      <c r="F875" t="s">
        <v>52</v>
      </c>
      <c r="G875" t="s">
        <v>48</v>
      </c>
      <c r="H875" t="s">
        <v>13</v>
      </c>
      <c r="I875" t="s">
        <v>14</v>
      </c>
      <c r="J875" t="s">
        <v>17</v>
      </c>
      <c r="K875">
        <v>11986</v>
      </c>
      <c r="L875">
        <v>20</v>
      </c>
      <c r="M875">
        <v>239720</v>
      </c>
      <c r="N875" t="s">
        <v>16</v>
      </c>
    </row>
    <row r="876" spans="5:14" x14ac:dyDescent="0.35">
      <c r="E876" t="s">
        <v>56</v>
      </c>
      <c r="F876" t="s">
        <v>52</v>
      </c>
      <c r="G876" t="s">
        <v>48</v>
      </c>
      <c r="H876" t="s">
        <v>13</v>
      </c>
      <c r="I876" t="s">
        <v>14</v>
      </c>
      <c r="J876" t="s">
        <v>19</v>
      </c>
      <c r="K876">
        <v>7853</v>
      </c>
      <c r="L876">
        <v>30</v>
      </c>
      <c r="M876">
        <v>235590</v>
      </c>
      <c r="N876" t="s">
        <v>21</v>
      </c>
    </row>
    <row r="877" spans="5:14" x14ac:dyDescent="0.35">
      <c r="E877" t="s">
        <v>56</v>
      </c>
      <c r="F877" t="s">
        <v>52</v>
      </c>
      <c r="G877" t="s">
        <v>48</v>
      </c>
      <c r="H877" t="s">
        <v>13</v>
      </c>
      <c r="I877" t="s">
        <v>14</v>
      </c>
      <c r="J877" t="s">
        <v>20</v>
      </c>
      <c r="K877">
        <v>11052</v>
      </c>
      <c r="L877">
        <v>15</v>
      </c>
      <c r="M877">
        <v>165780</v>
      </c>
      <c r="N877" t="s">
        <v>21</v>
      </c>
    </row>
    <row r="878" spans="5:14" x14ac:dyDescent="0.35">
      <c r="E878" t="s">
        <v>56</v>
      </c>
      <c r="F878" t="s">
        <v>52</v>
      </c>
      <c r="G878" t="s">
        <v>48</v>
      </c>
      <c r="H878" t="s">
        <v>22</v>
      </c>
      <c r="I878" t="s">
        <v>23</v>
      </c>
      <c r="J878" t="s">
        <v>24</v>
      </c>
      <c r="K878">
        <v>7539</v>
      </c>
      <c r="L878">
        <v>2</v>
      </c>
      <c r="M878">
        <v>15078</v>
      </c>
      <c r="N878" t="s">
        <v>18</v>
      </c>
    </row>
    <row r="879" spans="5:14" x14ac:dyDescent="0.35">
      <c r="E879" t="s">
        <v>56</v>
      </c>
      <c r="F879" t="s">
        <v>52</v>
      </c>
      <c r="G879" t="s">
        <v>48</v>
      </c>
      <c r="H879" t="s">
        <v>22</v>
      </c>
      <c r="I879" t="s">
        <v>23</v>
      </c>
      <c r="J879" t="s">
        <v>25</v>
      </c>
      <c r="K879">
        <v>14643</v>
      </c>
      <c r="L879">
        <v>2</v>
      </c>
      <c r="M879">
        <v>29286</v>
      </c>
      <c r="N879" t="s">
        <v>18</v>
      </c>
    </row>
    <row r="880" spans="5:14" x14ac:dyDescent="0.35">
      <c r="E880" t="s">
        <v>56</v>
      </c>
      <c r="F880" t="s">
        <v>52</v>
      </c>
      <c r="G880" t="s">
        <v>48</v>
      </c>
      <c r="H880" t="s">
        <v>22</v>
      </c>
      <c r="I880" t="s">
        <v>23</v>
      </c>
      <c r="J880" t="s">
        <v>26</v>
      </c>
      <c r="K880">
        <v>9792</v>
      </c>
      <c r="L880">
        <v>5</v>
      </c>
      <c r="M880">
        <v>48960</v>
      </c>
      <c r="N880" t="s">
        <v>16</v>
      </c>
    </row>
    <row r="881" spans="5:14" x14ac:dyDescent="0.35">
      <c r="E881" t="s">
        <v>56</v>
      </c>
      <c r="F881" t="s">
        <v>52</v>
      </c>
      <c r="G881" t="s">
        <v>48</v>
      </c>
      <c r="H881" t="s">
        <v>22</v>
      </c>
      <c r="I881" t="s">
        <v>27</v>
      </c>
      <c r="J881" t="s">
        <v>28</v>
      </c>
      <c r="K881">
        <v>16735</v>
      </c>
      <c r="L881">
        <v>3</v>
      </c>
      <c r="M881">
        <v>50205</v>
      </c>
      <c r="N881" t="s">
        <v>18</v>
      </c>
    </row>
    <row r="882" spans="5:14" x14ac:dyDescent="0.35">
      <c r="E882" t="s">
        <v>57</v>
      </c>
      <c r="F882" t="s">
        <v>11</v>
      </c>
      <c r="G882" t="s">
        <v>12</v>
      </c>
      <c r="H882" t="s">
        <v>13</v>
      </c>
      <c r="I882" t="s">
        <v>14</v>
      </c>
      <c r="J882" t="s">
        <v>15</v>
      </c>
      <c r="K882">
        <v>12778</v>
      </c>
      <c r="L882">
        <v>10</v>
      </c>
      <c r="M882">
        <v>127780</v>
      </c>
      <c r="N882" t="s">
        <v>21</v>
      </c>
    </row>
    <row r="883" spans="5:14" x14ac:dyDescent="0.35">
      <c r="E883" t="s">
        <v>57</v>
      </c>
      <c r="F883" t="s">
        <v>11</v>
      </c>
      <c r="G883" t="s">
        <v>12</v>
      </c>
      <c r="H883" t="s">
        <v>13</v>
      </c>
      <c r="I883" t="s">
        <v>14</v>
      </c>
      <c r="J883" t="s">
        <v>17</v>
      </c>
      <c r="K883">
        <v>7169</v>
      </c>
      <c r="L883">
        <v>20</v>
      </c>
      <c r="M883">
        <v>143380</v>
      </c>
      <c r="N883" t="s">
        <v>21</v>
      </c>
    </row>
    <row r="884" spans="5:14" x14ac:dyDescent="0.35">
      <c r="E884" t="s">
        <v>57</v>
      </c>
      <c r="F884" t="s">
        <v>11</v>
      </c>
      <c r="G884" t="s">
        <v>12</v>
      </c>
      <c r="H884" t="s">
        <v>13</v>
      </c>
      <c r="I884" t="s">
        <v>14</v>
      </c>
      <c r="J884" t="s">
        <v>19</v>
      </c>
      <c r="K884">
        <v>12804</v>
      </c>
      <c r="L884">
        <v>30</v>
      </c>
      <c r="M884">
        <v>384120</v>
      </c>
      <c r="N884" t="s">
        <v>18</v>
      </c>
    </row>
    <row r="885" spans="5:14" x14ac:dyDescent="0.35">
      <c r="E885" t="s">
        <v>57</v>
      </c>
      <c r="F885" t="s">
        <v>11</v>
      </c>
      <c r="G885" t="s">
        <v>12</v>
      </c>
      <c r="H885" t="s">
        <v>13</v>
      </c>
      <c r="I885" t="s">
        <v>14</v>
      </c>
      <c r="J885" t="s">
        <v>20</v>
      </c>
      <c r="K885">
        <v>6789</v>
      </c>
      <c r="L885">
        <v>15</v>
      </c>
      <c r="M885">
        <v>101835</v>
      </c>
      <c r="N885" t="s">
        <v>18</v>
      </c>
    </row>
    <row r="886" spans="5:14" x14ac:dyDescent="0.35">
      <c r="E886" t="s">
        <v>57</v>
      </c>
      <c r="F886" t="s">
        <v>11</v>
      </c>
      <c r="G886" t="s">
        <v>12</v>
      </c>
      <c r="H886" t="s">
        <v>22</v>
      </c>
      <c r="I886" t="s">
        <v>23</v>
      </c>
      <c r="J886" t="s">
        <v>24</v>
      </c>
      <c r="K886">
        <v>7917</v>
      </c>
      <c r="L886">
        <v>2</v>
      </c>
      <c r="M886">
        <v>15834</v>
      </c>
      <c r="N886" t="s">
        <v>21</v>
      </c>
    </row>
    <row r="887" spans="5:14" x14ac:dyDescent="0.35">
      <c r="E887" t="s">
        <v>57</v>
      </c>
      <c r="F887" t="s">
        <v>11</v>
      </c>
      <c r="G887" t="s">
        <v>12</v>
      </c>
      <c r="H887" t="s">
        <v>22</v>
      </c>
      <c r="I887" t="s">
        <v>23</v>
      </c>
      <c r="J887" t="s">
        <v>25</v>
      </c>
      <c r="K887">
        <v>9407</v>
      </c>
      <c r="L887">
        <v>2</v>
      </c>
      <c r="M887">
        <v>18814</v>
      </c>
      <c r="N887" t="s">
        <v>21</v>
      </c>
    </row>
    <row r="888" spans="5:14" x14ac:dyDescent="0.35">
      <c r="E888" t="s">
        <v>57</v>
      </c>
      <c r="F888" t="s">
        <v>11</v>
      </c>
      <c r="G888" t="s">
        <v>12</v>
      </c>
      <c r="H888" t="s">
        <v>22</v>
      </c>
      <c r="I888" t="s">
        <v>23</v>
      </c>
      <c r="J888" t="s">
        <v>26</v>
      </c>
      <c r="K888">
        <v>12373</v>
      </c>
      <c r="L888">
        <v>5</v>
      </c>
      <c r="M888">
        <v>61865</v>
      </c>
      <c r="N888" t="s">
        <v>16</v>
      </c>
    </row>
    <row r="889" spans="5:14" x14ac:dyDescent="0.35">
      <c r="E889" t="s">
        <v>57</v>
      </c>
      <c r="F889" t="s">
        <v>11</v>
      </c>
      <c r="G889" t="s">
        <v>12</v>
      </c>
      <c r="H889" t="s">
        <v>22</v>
      </c>
      <c r="I889" t="s">
        <v>27</v>
      </c>
      <c r="J889" t="s">
        <v>28</v>
      </c>
      <c r="K889">
        <v>16469</v>
      </c>
      <c r="L889">
        <v>3</v>
      </c>
      <c r="M889">
        <v>49407</v>
      </c>
      <c r="N889" t="s">
        <v>16</v>
      </c>
    </row>
    <row r="890" spans="5:14" x14ac:dyDescent="0.35">
      <c r="E890" t="s">
        <v>57</v>
      </c>
      <c r="F890" t="s">
        <v>29</v>
      </c>
      <c r="G890" t="s">
        <v>12</v>
      </c>
      <c r="H890" t="s">
        <v>13</v>
      </c>
      <c r="I890" t="s">
        <v>14</v>
      </c>
      <c r="J890" t="s">
        <v>15</v>
      </c>
      <c r="K890">
        <v>14695</v>
      </c>
      <c r="L890">
        <v>10</v>
      </c>
      <c r="M890">
        <v>146950</v>
      </c>
      <c r="N890" t="s">
        <v>18</v>
      </c>
    </row>
    <row r="891" spans="5:14" x14ac:dyDescent="0.35">
      <c r="E891" t="s">
        <v>57</v>
      </c>
      <c r="F891" t="s">
        <v>29</v>
      </c>
      <c r="G891" t="s">
        <v>12</v>
      </c>
      <c r="H891" t="s">
        <v>13</v>
      </c>
      <c r="I891" t="s">
        <v>14</v>
      </c>
      <c r="J891" t="s">
        <v>17</v>
      </c>
      <c r="K891">
        <v>13858</v>
      </c>
      <c r="L891">
        <v>20</v>
      </c>
      <c r="M891">
        <v>277160</v>
      </c>
      <c r="N891" t="s">
        <v>16</v>
      </c>
    </row>
    <row r="892" spans="5:14" x14ac:dyDescent="0.35">
      <c r="E892" t="s">
        <v>57</v>
      </c>
      <c r="F892" t="s">
        <v>29</v>
      </c>
      <c r="G892" t="s">
        <v>12</v>
      </c>
      <c r="H892" t="s">
        <v>13</v>
      </c>
      <c r="I892" t="s">
        <v>14</v>
      </c>
      <c r="J892" t="s">
        <v>19</v>
      </c>
      <c r="K892">
        <v>6059</v>
      </c>
      <c r="L892">
        <v>30</v>
      </c>
      <c r="M892">
        <v>181770</v>
      </c>
      <c r="N892" t="s">
        <v>18</v>
      </c>
    </row>
    <row r="893" spans="5:14" x14ac:dyDescent="0.35">
      <c r="E893" t="s">
        <v>57</v>
      </c>
      <c r="F893" t="s">
        <v>29</v>
      </c>
      <c r="G893" t="s">
        <v>12</v>
      </c>
      <c r="H893" t="s">
        <v>13</v>
      </c>
      <c r="I893" t="s">
        <v>14</v>
      </c>
      <c r="J893" t="s">
        <v>20</v>
      </c>
      <c r="K893">
        <v>8514</v>
      </c>
      <c r="L893">
        <v>15</v>
      </c>
      <c r="M893">
        <v>127710</v>
      </c>
      <c r="N893" t="s">
        <v>18</v>
      </c>
    </row>
    <row r="894" spans="5:14" x14ac:dyDescent="0.35">
      <c r="E894" t="s">
        <v>57</v>
      </c>
      <c r="F894" t="s">
        <v>29</v>
      </c>
      <c r="G894" t="s">
        <v>12</v>
      </c>
      <c r="H894" t="s">
        <v>22</v>
      </c>
      <c r="I894" t="s">
        <v>23</v>
      </c>
      <c r="J894" t="s">
        <v>24</v>
      </c>
      <c r="K894">
        <v>12940</v>
      </c>
      <c r="L894">
        <v>2</v>
      </c>
      <c r="M894">
        <v>25880</v>
      </c>
      <c r="N894" t="s">
        <v>18</v>
      </c>
    </row>
    <row r="895" spans="5:14" x14ac:dyDescent="0.35">
      <c r="E895" t="s">
        <v>57</v>
      </c>
      <c r="F895" t="s">
        <v>29</v>
      </c>
      <c r="G895" t="s">
        <v>12</v>
      </c>
      <c r="H895" t="s">
        <v>22</v>
      </c>
      <c r="I895" t="s">
        <v>23</v>
      </c>
      <c r="J895" t="s">
        <v>25</v>
      </c>
      <c r="K895">
        <v>15560</v>
      </c>
      <c r="L895">
        <v>2</v>
      </c>
      <c r="M895">
        <v>31120</v>
      </c>
      <c r="N895" t="s">
        <v>21</v>
      </c>
    </row>
    <row r="896" spans="5:14" x14ac:dyDescent="0.35">
      <c r="E896" t="s">
        <v>57</v>
      </c>
      <c r="F896" t="s">
        <v>29</v>
      </c>
      <c r="G896" t="s">
        <v>12</v>
      </c>
      <c r="H896" t="s">
        <v>22</v>
      </c>
      <c r="I896" t="s">
        <v>23</v>
      </c>
      <c r="J896" t="s">
        <v>26</v>
      </c>
      <c r="K896">
        <v>16688</v>
      </c>
      <c r="L896">
        <v>5</v>
      </c>
      <c r="M896">
        <v>83440</v>
      </c>
      <c r="N896" t="s">
        <v>16</v>
      </c>
    </row>
    <row r="897" spans="5:14" x14ac:dyDescent="0.35">
      <c r="E897" t="s">
        <v>57</v>
      </c>
      <c r="F897" t="s">
        <v>29</v>
      </c>
      <c r="G897" t="s">
        <v>12</v>
      </c>
      <c r="H897" t="s">
        <v>22</v>
      </c>
      <c r="I897" t="s">
        <v>27</v>
      </c>
      <c r="J897" t="s">
        <v>28</v>
      </c>
      <c r="K897">
        <v>10207</v>
      </c>
      <c r="L897">
        <v>3</v>
      </c>
      <c r="M897">
        <v>30621</v>
      </c>
      <c r="N897" t="s">
        <v>16</v>
      </c>
    </row>
    <row r="898" spans="5:14" x14ac:dyDescent="0.35">
      <c r="E898" t="s">
        <v>57</v>
      </c>
      <c r="F898" t="s">
        <v>30</v>
      </c>
      <c r="G898" t="s">
        <v>12</v>
      </c>
      <c r="H898" t="s">
        <v>13</v>
      </c>
      <c r="I898" t="s">
        <v>14</v>
      </c>
      <c r="J898" t="s">
        <v>15</v>
      </c>
      <c r="K898">
        <v>9264</v>
      </c>
      <c r="L898">
        <v>10</v>
      </c>
      <c r="M898">
        <v>92640</v>
      </c>
      <c r="N898" t="s">
        <v>21</v>
      </c>
    </row>
    <row r="899" spans="5:14" x14ac:dyDescent="0.35">
      <c r="E899" t="s">
        <v>57</v>
      </c>
      <c r="F899" t="s">
        <v>30</v>
      </c>
      <c r="G899" t="s">
        <v>12</v>
      </c>
      <c r="H899" t="s">
        <v>13</v>
      </c>
      <c r="I899" t="s">
        <v>14</v>
      </c>
      <c r="J899" t="s">
        <v>17</v>
      </c>
      <c r="K899">
        <v>7581</v>
      </c>
      <c r="L899">
        <v>20</v>
      </c>
      <c r="M899">
        <v>151620</v>
      </c>
      <c r="N899" t="s">
        <v>21</v>
      </c>
    </row>
    <row r="900" spans="5:14" x14ac:dyDescent="0.35">
      <c r="E900" t="s">
        <v>57</v>
      </c>
      <c r="F900" t="s">
        <v>30</v>
      </c>
      <c r="G900" t="s">
        <v>12</v>
      </c>
      <c r="H900" t="s">
        <v>13</v>
      </c>
      <c r="I900" t="s">
        <v>14</v>
      </c>
      <c r="J900" t="s">
        <v>19</v>
      </c>
      <c r="K900">
        <v>13919</v>
      </c>
      <c r="L900">
        <v>30</v>
      </c>
      <c r="M900">
        <v>417570</v>
      </c>
      <c r="N900" t="s">
        <v>21</v>
      </c>
    </row>
    <row r="901" spans="5:14" x14ac:dyDescent="0.35">
      <c r="E901" t="s">
        <v>57</v>
      </c>
      <c r="F901" t="s">
        <v>30</v>
      </c>
      <c r="G901" t="s">
        <v>12</v>
      </c>
      <c r="H901" t="s">
        <v>13</v>
      </c>
      <c r="I901" t="s">
        <v>14</v>
      </c>
      <c r="J901" t="s">
        <v>20</v>
      </c>
      <c r="K901">
        <v>7196</v>
      </c>
      <c r="L901">
        <v>15</v>
      </c>
      <c r="M901">
        <v>107940</v>
      </c>
      <c r="N901" t="s">
        <v>16</v>
      </c>
    </row>
    <row r="902" spans="5:14" x14ac:dyDescent="0.35">
      <c r="E902" t="s">
        <v>57</v>
      </c>
      <c r="F902" t="s">
        <v>30</v>
      </c>
      <c r="G902" t="s">
        <v>12</v>
      </c>
      <c r="H902" t="s">
        <v>22</v>
      </c>
      <c r="I902" t="s">
        <v>23</v>
      </c>
      <c r="J902" t="s">
        <v>24</v>
      </c>
      <c r="K902">
        <v>9809</v>
      </c>
      <c r="L902">
        <v>2</v>
      </c>
      <c r="M902">
        <v>19618</v>
      </c>
      <c r="N902" t="s">
        <v>16</v>
      </c>
    </row>
    <row r="903" spans="5:14" x14ac:dyDescent="0.35">
      <c r="E903" t="s">
        <v>57</v>
      </c>
      <c r="F903" t="s">
        <v>30</v>
      </c>
      <c r="G903" t="s">
        <v>12</v>
      </c>
      <c r="H903" t="s">
        <v>22</v>
      </c>
      <c r="I903" t="s">
        <v>23</v>
      </c>
      <c r="J903" t="s">
        <v>25</v>
      </c>
      <c r="K903">
        <v>7152</v>
      </c>
      <c r="L903">
        <v>2</v>
      </c>
      <c r="M903">
        <v>14304</v>
      </c>
      <c r="N903" t="s">
        <v>21</v>
      </c>
    </row>
    <row r="904" spans="5:14" x14ac:dyDescent="0.35">
      <c r="E904" t="s">
        <v>57</v>
      </c>
      <c r="F904" t="s">
        <v>30</v>
      </c>
      <c r="G904" t="s">
        <v>12</v>
      </c>
      <c r="H904" t="s">
        <v>22</v>
      </c>
      <c r="I904" t="s">
        <v>23</v>
      </c>
      <c r="J904" t="s">
        <v>26</v>
      </c>
      <c r="K904">
        <v>17904</v>
      </c>
      <c r="L904">
        <v>5</v>
      </c>
      <c r="M904">
        <v>89520</v>
      </c>
      <c r="N904" t="s">
        <v>16</v>
      </c>
    </row>
    <row r="905" spans="5:14" x14ac:dyDescent="0.35">
      <c r="E905" t="s">
        <v>57</v>
      </c>
      <c r="F905" t="s">
        <v>30</v>
      </c>
      <c r="G905" t="s">
        <v>12</v>
      </c>
      <c r="H905" t="s">
        <v>22</v>
      </c>
      <c r="I905" t="s">
        <v>27</v>
      </c>
      <c r="J905" t="s">
        <v>28</v>
      </c>
      <c r="K905">
        <v>18090</v>
      </c>
      <c r="L905">
        <v>3</v>
      </c>
      <c r="M905">
        <v>54270</v>
      </c>
      <c r="N905" t="s">
        <v>18</v>
      </c>
    </row>
    <row r="906" spans="5:14" x14ac:dyDescent="0.35">
      <c r="E906" t="s">
        <v>57</v>
      </c>
      <c r="F906" t="s">
        <v>31</v>
      </c>
      <c r="G906" t="s">
        <v>12</v>
      </c>
      <c r="H906" t="s">
        <v>13</v>
      </c>
      <c r="I906" t="s">
        <v>14</v>
      </c>
      <c r="J906" t="s">
        <v>15</v>
      </c>
      <c r="K906">
        <v>11227</v>
      </c>
      <c r="L906">
        <v>10</v>
      </c>
      <c r="M906">
        <v>112270</v>
      </c>
      <c r="N906" t="s">
        <v>18</v>
      </c>
    </row>
    <row r="907" spans="5:14" x14ac:dyDescent="0.35">
      <c r="E907" t="s">
        <v>57</v>
      </c>
      <c r="F907" t="s">
        <v>31</v>
      </c>
      <c r="G907" t="s">
        <v>12</v>
      </c>
      <c r="H907" t="s">
        <v>13</v>
      </c>
      <c r="I907" t="s">
        <v>14</v>
      </c>
      <c r="J907" t="s">
        <v>17</v>
      </c>
      <c r="K907">
        <v>9135</v>
      </c>
      <c r="L907">
        <v>20</v>
      </c>
      <c r="M907">
        <v>182700</v>
      </c>
      <c r="N907" t="s">
        <v>16</v>
      </c>
    </row>
    <row r="908" spans="5:14" x14ac:dyDescent="0.35">
      <c r="E908" t="s">
        <v>57</v>
      </c>
      <c r="F908" t="s">
        <v>31</v>
      </c>
      <c r="G908" t="s">
        <v>12</v>
      </c>
      <c r="H908" t="s">
        <v>13</v>
      </c>
      <c r="I908" t="s">
        <v>14</v>
      </c>
      <c r="J908" t="s">
        <v>19</v>
      </c>
      <c r="K908">
        <v>14563</v>
      </c>
      <c r="L908">
        <v>30</v>
      </c>
      <c r="M908">
        <v>436890</v>
      </c>
      <c r="N908" t="s">
        <v>21</v>
      </c>
    </row>
    <row r="909" spans="5:14" x14ac:dyDescent="0.35">
      <c r="E909" t="s">
        <v>57</v>
      </c>
      <c r="F909" t="s">
        <v>31</v>
      </c>
      <c r="G909" t="s">
        <v>12</v>
      </c>
      <c r="H909" t="s">
        <v>13</v>
      </c>
      <c r="I909" t="s">
        <v>14</v>
      </c>
      <c r="J909" t="s">
        <v>20</v>
      </c>
      <c r="K909">
        <v>6607</v>
      </c>
      <c r="L909">
        <v>15</v>
      </c>
      <c r="M909">
        <v>99105</v>
      </c>
      <c r="N909" t="s">
        <v>21</v>
      </c>
    </row>
    <row r="910" spans="5:14" x14ac:dyDescent="0.35">
      <c r="E910" t="s">
        <v>57</v>
      </c>
      <c r="F910" t="s">
        <v>31</v>
      </c>
      <c r="G910" t="s">
        <v>12</v>
      </c>
      <c r="H910" t="s">
        <v>22</v>
      </c>
      <c r="I910" t="s">
        <v>23</v>
      </c>
      <c r="J910" t="s">
        <v>24</v>
      </c>
      <c r="K910">
        <v>15681</v>
      </c>
      <c r="L910">
        <v>2</v>
      </c>
      <c r="M910">
        <v>31362</v>
      </c>
      <c r="N910" t="s">
        <v>18</v>
      </c>
    </row>
    <row r="911" spans="5:14" x14ac:dyDescent="0.35">
      <c r="E911" t="s">
        <v>57</v>
      </c>
      <c r="F911" t="s">
        <v>31</v>
      </c>
      <c r="G911" t="s">
        <v>12</v>
      </c>
      <c r="H911" t="s">
        <v>22</v>
      </c>
      <c r="I911" t="s">
        <v>23</v>
      </c>
      <c r="J911" t="s">
        <v>25</v>
      </c>
      <c r="K911">
        <v>11247</v>
      </c>
      <c r="L911">
        <v>2</v>
      </c>
      <c r="M911">
        <v>22494</v>
      </c>
      <c r="N911" t="s">
        <v>18</v>
      </c>
    </row>
    <row r="912" spans="5:14" x14ac:dyDescent="0.35">
      <c r="E912" t="s">
        <v>57</v>
      </c>
      <c r="F912" t="s">
        <v>31</v>
      </c>
      <c r="G912" t="s">
        <v>12</v>
      </c>
      <c r="H912" t="s">
        <v>22</v>
      </c>
      <c r="I912" t="s">
        <v>23</v>
      </c>
      <c r="J912" t="s">
        <v>26</v>
      </c>
      <c r="K912">
        <v>13028</v>
      </c>
      <c r="L912">
        <v>5</v>
      </c>
      <c r="M912">
        <v>65140</v>
      </c>
      <c r="N912" t="s">
        <v>21</v>
      </c>
    </row>
    <row r="913" spans="5:14" x14ac:dyDescent="0.35">
      <c r="E913" t="s">
        <v>57</v>
      </c>
      <c r="F913" t="s">
        <v>31</v>
      </c>
      <c r="G913" t="s">
        <v>12</v>
      </c>
      <c r="H913" t="s">
        <v>22</v>
      </c>
      <c r="I913" t="s">
        <v>27</v>
      </c>
      <c r="J913" t="s">
        <v>28</v>
      </c>
      <c r="K913">
        <v>10722</v>
      </c>
      <c r="L913">
        <v>3</v>
      </c>
      <c r="M913">
        <v>32166</v>
      </c>
      <c r="N913" t="s">
        <v>16</v>
      </c>
    </row>
    <row r="914" spans="5:14" x14ac:dyDescent="0.35">
      <c r="E914" t="s">
        <v>57</v>
      </c>
      <c r="F914" t="s">
        <v>32</v>
      </c>
      <c r="G914" t="s">
        <v>12</v>
      </c>
      <c r="H914" t="s">
        <v>13</v>
      </c>
      <c r="I914" t="s">
        <v>14</v>
      </c>
      <c r="J914" t="s">
        <v>15</v>
      </c>
      <c r="K914">
        <v>12886</v>
      </c>
      <c r="L914">
        <v>10</v>
      </c>
      <c r="M914">
        <v>128860</v>
      </c>
      <c r="N914" t="s">
        <v>18</v>
      </c>
    </row>
    <row r="915" spans="5:14" x14ac:dyDescent="0.35">
      <c r="E915" t="s">
        <v>57</v>
      </c>
      <c r="F915" t="s">
        <v>32</v>
      </c>
      <c r="G915" t="s">
        <v>12</v>
      </c>
      <c r="H915" t="s">
        <v>13</v>
      </c>
      <c r="I915" t="s">
        <v>14</v>
      </c>
      <c r="J915" t="s">
        <v>17</v>
      </c>
      <c r="K915">
        <v>10077</v>
      </c>
      <c r="L915">
        <v>20</v>
      </c>
      <c r="M915">
        <v>201540</v>
      </c>
      <c r="N915" t="s">
        <v>21</v>
      </c>
    </row>
    <row r="916" spans="5:14" x14ac:dyDescent="0.35">
      <c r="E916" t="s">
        <v>57</v>
      </c>
      <c r="F916" t="s">
        <v>32</v>
      </c>
      <c r="G916" t="s">
        <v>12</v>
      </c>
      <c r="H916" t="s">
        <v>13</v>
      </c>
      <c r="I916" t="s">
        <v>14</v>
      </c>
      <c r="J916" t="s">
        <v>19</v>
      </c>
      <c r="K916">
        <v>10267</v>
      </c>
      <c r="L916">
        <v>30</v>
      </c>
      <c r="M916">
        <v>308010</v>
      </c>
      <c r="N916" t="s">
        <v>16</v>
      </c>
    </row>
    <row r="917" spans="5:14" x14ac:dyDescent="0.35">
      <c r="E917" t="s">
        <v>57</v>
      </c>
      <c r="F917" t="s">
        <v>32</v>
      </c>
      <c r="G917" t="s">
        <v>12</v>
      </c>
      <c r="H917" t="s">
        <v>13</v>
      </c>
      <c r="I917" t="s">
        <v>14</v>
      </c>
      <c r="J917" t="s">
        <v>20</v>
      </c>
      <c r="K917">
        <v>11655</v>
      </c>
      <c r="L917">
        <v>15</v>
      </c>
      <c r="M917">
        <v>174825</v>
      </c>
      <c r="N917" t="s">
        <v>16</v>
      </c>
    </row>
    <row r="918" spans="5:14" x14ac:dyDescent="0.35">
      <c r="E918" t="s">
        <v>57</v>
      </c>
      <c r="F918" t="s">
        <v>32</v>
      </c>
      <c r="G918" t="s">
        <v>12</v>
      </c>
      <c r="H918" t="s">
        <v>22</v>
      </c>
      <c r="I918" t="s">
        <v>23</v>
      </c>
      <c r="J918" t="s">
        <v>24</v>
      </c>
      <c r="K918">
        <v>17278</v>
      </c>
      <c r="L918">
        <v>2</v>
      </c>
      <c r="M918">
        <v>34556</v>
      </c>
      <c r="N918" t="s">
        <v>16</v>
      </c>
    </row>
    <row r="919" spans="5:14" x14ac:dyDescent="0.35">
      <c r="E919" t="s">
        <v>57</v>
      </c>
      <c r="F919" t="s">
        <v>32</v>
      </c>
      <c r="G919" t="s">
        <v>12</v>
      </c>
      <c r="H919" t="s">
        <v>22</v>
      </c>
      <c r="I919" t="s">
        <v>23</v>
      </c>
      <c r="J919" t="s">
        <v>25</v>
      </c>
      <c r="K919">
        <v>9015</v>
      </c>
      <c r="L919">
        <v>2</v>
      </c>
      <c r="M919">
        <v>18030</v>
      </c>
      <c r="N919" t="s">
        <v>21</v>
      </c>
    </row>
    <row r="920" spans="5:14" x14ac:dyDescent="0.35">
      <c r="E920" t="s">
        <v>57</v>
      </c>
      <c r="F920" t="s">
        <v>32</v>
      </c>
      <c r="G920" t="s">
        <v>12</v>
      </c>
      <c r="H920" t="s">
        <v>22</v>
      </c>
      <c r="I920" t="s">
        <v>23</v>
      </c>
      <c r="J920" t="s">
        <v>26</v>
      </c>
      <c r="K920">
        <v>15549</v>
      </c>
      <c r="L920">
        <v>5</v>
      </c>
      <c r="M920">
        <v>77745</v>
      </c>
      <c r="N920" t="s">
        <v>21</v>
      </c>
    </row>
    <row r="921" spans="5:14" x14ac:dyDescent="0.35">
      <c r="E921" t="s">
        <v>57</v>
      </c>
      <c r="F921" t="s">
        <v>32</v>
      </c>
      <c r="G921" t="s">
        <v>12</v>
      </c>
      <c r="H921" t="s">
        <v>22</v>
      </c>
      <c r="I921" t="s">
        <v>27</v>
      </c>
      <c r="J921" t="s">
        <v>28</v>
      </c>
      <c r="K921">
        <v>10419</v>
      </c>
      <c r="L921">
        <v>3</v>
      </c>
      <c r="M921">
        <v>31257</v>
      </c>
      <c r="N921" t="s">
        <v>18</v>
      </c>
    </row>
    <row r="922" spans="5:14" x14ac:dyDescent="0.35">
      <c r="E922" t="s">
        <v>57</v>
      </c>
      <c r="F922" t="s">
        <v>33</v>
      </c>
      <c r="G922" t="s">
        <v>12</v>
      </c>
      <c r="H922" t="s">
        <v>13</v>
      </c>
      <c r="I922" t="s">
        <v>14</v>
      </c>
      <c r="J922" t="s">
        <v>15</v>
      </c>
      <c r="K922">
        <v>11585</v>
      </c>
      <c r="L922">
        <v>10</v>
      </c>
      <c r="M922">
        <v>115850</v>
      </c>
      <c r="N922" t="s">
        <v>16</v>
      </c>
    </row>
    <row r="923" spans="5:14" x14ac:dyDescent="0.35">
      <c r="E923" t="s">
        <v>57</v>
      </c>
      <c r="F923" t="s">
        <v>33</v>
      </c>
      <c r="G923" t="s">
        <v>12</v>
      </c>
      <c r="H923" t="s">
        <v>13</v>
      </c>
      <c r="I923" t="s">
        <v>14</v>
      </c>
      <c r="J923" t="s">
        <v>17</v>
      </c>
      <c r="K923">
        <v>14471</v>
      </c>
      <c r="L923">
        <v>20</v>
      </c>
      <c r="M923">
        <v>289420</v>
      </c>
      <c r="N923" t="s">
        <v>18</v>
      </c>
    </row>
    <row r="924" spans="5:14" x14ac:dyDescent="0.35">
      <c r="E924" t="s">
        <v>57</v>
      </c>
      <c r="F924" t="s">
        <v>33</v>
      </c>
      <c r="G924" t="s">
        <v>12</v>
      </c>
      <c r="H924" t="s">
        <v>13</v>
      </c>
      <c r="I924" t="s">
        <v>14</v>
      </c>
      <c r="J924" t="s">
        <v>19</v>
      </c>
      <c r="K924">
        <v>5864</v>
      </c>
      <c r="L924">
        <v>30</v>
      </c>
      <c r="M924">
        <v>175920</v>
      </c>
      <c r="N924" t="s">
        <v>18</v>
      </c>
    </row>
    <row r="925" spans="5:14" x14ac:dyDescent="0.35">
      <c r="E925" t="s">
        <v>57</v>
      </c>
      <c r="F925" t="s">
        <v>33</v>
      </c>
      <c r="G925" t="s">
        <v>12</v>
      </c>
      <c r="H925" t="s">
        <v>13</v>
      </c>
      <c r="I925" t="s">
        <v>14</v>
      </c>
      <c r="J925" t="s">
        <v>20</v>
      </c>
      <c r="K925">
        <v>13632</v>
      </c>
      <c r="L925">
        <v>15</v>
      </c>
      <c r="M925">
        <v>204480</v>
      </c>
      <c r="N925" t="s">
        <v>21</v>
      </c>
    </row>
    <row r="926" spans="5:14" x14ac:dyDescent="0.35">
      <c r="E926" t="s">
        <v>57</v>
      </c>
      <c r="F926" t="s">
        <v>33</v>
      </c>
      <c r="G926" t="s">
        <v>12</v>
      </c>
      <c r="H926" t="s">
        <v>22</v>
      </c>
      <c r="I926" t="s">
        <v>23</v>
      </c>
      <c r="J926" t="s">
        <v>24</v>
      </c>
      <c r="K926">
        <v>14251</v>
      </c>
      <c r="L926">
        <v>2</v>
      </c>
      <c r="M926">
        <v>28502</v>
      </c>
      <c r="N926" t="s">
        <v>18</v>
      </c>
    </row>
    <row r="927" spans="5:14" x14ac:dyDescent="0.35">
      <c r="E927" t="s">
        <v>57</v>
      </c>
      <c r="F927" t="s">
        <v>33</v>
      </c>
      <c r="G927" t="s">
        <v>12</v>
      </c>
      <c r="H927" t="s">
        <v>22</v>
      </c>
      <c r="I927" t="s">
        <v>23</v>
      </c>
      <c r="J927" t="s">
        <v>25</v>
      </c>
      <c r="K927">
        <v>7397</v>
      </c>
      <c r="L927">
        <v>2</v>
      </c>
      <c r="M927">
        <v>14794</v>
      </c>
      <c r="N927" t="s">
        <v>18</v>
      </c>
    </row>
    <row r="928" spans="5:14" x14ac:dyDescent="0.35">
      <c r="E928" t="s">
        <v>57</v>
      </c>
      <c r="F928" t="s">
        <v>33</v>
      </c>
      <c r="G928" t="s">
        <v>12</v>
      </c>
      <c r="H928" t="s">
        <v>22</v>
      </c>
      <c r="I928" t="s">
        <v>23</v>
      </c>
      <c r="J928" t="s">
        <v>26</v>
      </c>
      <c r="K928">
        <v>14054</v>
      </c>
      <c r="L928">
        <v>5</v>
      </c>
      <c r="M928">
        <v>70270</v>
      </c>
      <c r="N928" t="s">
        <v>16</v>
      </c>
    </row>
    <row r="929" spans="5:14" x14ac:dyDescent="0.35">
      <c r="E929" t="s">
        <v>57</v>
      </c>
      <c r="F929" t="s">
        <v>33</v>
      </c>
      <c r="G929" t="s">
        <v>12</v>
      </c>
      <c r="H929" t="s">
        <v>22</v>
      </c>
      <c r="I929" t="s">
        <v>27</v>
      </c>
      <c r="J929" t="s">
        <v>28</v>
      </c>
      <c r="K929">
        <v>17749</v>
      </c>
      <c r="L929">
        <v>3</v>
      </c>
      <c r="M929">
        <v>53247</v>
      </c>
      <c r="N929" t="s">
        <v>16</v>
      </c>
    </row>
    <row r="930" spans="5:14" x14ac:dyDescent="0.35">
      <c r="E930" t="s">
        <v>57</v>
      </c>
      <c r="F930" t="s">
        <v>34</v>
      </c>
      <c r="G930" t="s">
        <v>12</v>
      </c>
      <c r="H930" t="s">
        <v>13</v>
      </c>
      <c r="I930" t="s">
        <v>14</v>
      </c>
      <c r="J930" t="s">
        <v>15</v>
      </c>
      <c r="K930">
        <v>14459</v>
      </c>
      <c r="L930">
        <v>10</v>
      </c>
      <c r="M930">
        <v>144590</v>
      </c>
      <c r="N930" t="s">
        <v>16</v>
      </c>
    </row>
    <row r="931" spans="5:14" x14ac:dyDescent="0.35">
      <c r="E931" t="s">
        <v>57</v>
      </c>
      <c r="F931" t="s">
        <v>34</v>
      </c>
      <c r="G931" t="s">
        <v>12</v>
      </c>
      <c r="H931" t="s">
        <v>13</v>
      </c>
      <c r="I931" t="s">
        <v>14</v>
      </c>
      <c r="J931" t="s">
        <v>17</v>
      </c>
      <c r="K931">
        <v>11408</v>
      </c>
      <c r="L931">
        <v>20</v>
      </c>
      <c r="M931">
        <v>228160</v>
      </c>
      <c r="N931" t="s">
        <v>16</v>
      </c>
    </row>
    <row r="932" spans="5:14" x14ac:dyDescent="0.35">
      <c r="E932" t="s">
        <v>57</v>
      </c>
      <c r="F932" t="s">
        <v>34</v>
      </c>
      <c r="G932" t="s">
        <v>12</v>
      </c>
      <c r="H932" t="s">
        <v>13</v>
      </c>
      <c r="I932" t="s">
        <v>14</v>
      </c>
      <c r="J932" t="s">
        <v>19</v>
      </c>
      <c r="K932">
        <v>7741</v>
      </c>
      <c r="L932">
        <v>30</v>
      </c>
      <c r="M932">
        <v>232230</v>
      </c>
      <c r="N932" t="s">
        <v>16</v>
      </c>
    </row>
    <row r="933" spans="5:14" x14ac:dyDescent="0.35">
      <c r="E933" t="s">
        <v>57</v>
      </c>
      <c r="F933" t="s">
        <v>34</v>
      </c>
      <c r="G933" t="s">
        <v>12</v>
      </c>
      <c r="H933" t="s">
        <v>13</v>
      </c>
      <c r="I933" t="s">
        <v>14</v>
      </c>
      <c r="J933" t="s">
        <v>20</v>
      </c>
      <c r="K933">
        <v>12192</v>
      </c>
      <c r="L933">
        <v>15</v>
      </c>
      <c r="M933">
        <v>182880</v>
      </c>
      <c r="N933" t="s">
        <v>16</v>
      </c>
    </row>
    <row r="934" spans="5:14" x14ac:dyDescent="0.35">
      <c r="E934" t="s">
        <v>57</v>
      </c>
      <c r="F934" t="s">
        <v>34</v>
      </c>
      <c r="G934" t="s">
        <v>12</v>
      </c>
      <c r="H934" t="s">
        <v>22</v>
      </c>
      <c r="I934" t="s">
        <v>23</v>
      </c>
      <c r="J934" t="s">
        <v>24</v>
      </c>
      <c r="K934">
        <v>9131</v>
      </c>
      <c r="L934">
        <v>2</v>
      </c>
      <c r="M934">
        <v>18262</v>
      </c>
      <c r="N934" t="s">
        <v>21</v>
      </c>
    </row>
    <row r="935" spans="5:14" x14ac:dyDescent="0.35">
      <c r="E935" t="s">
        <v>57</v>
      </c>
      <c r="F935" t="s">
        <v>34</v>
      </c>
      <c r="G935" t="s">
        <v>12</v>
      </c>
      <c r="H935" t="s">
        <v>22</v>
      </c>
      <c r="I935" t="s">
        <v>23</v>
      </c>
      <c r="J935" t="s">
        <v>25</v>
      </c>
      <c r="K935">
        <v>13414</v>
      </c>
      <c r="L935">
        <v>2</v>
      </c>
      <c r="M935">
        <v>26828</v>
      </c>
      <c r="N935" t="s">
        <v>18</v>
      </c>
    </row>
    <row r="936" spans="5:14" x14ac:dyDescent="0.35">
      <c r="E936" t="s">
        <v>57</v>
      </c>
      <c r="F936" t="s">
        <v>34</v>
      </c>
      <c r="G936" t="s">
        <v>12</v>
      </c>
      <c r="H936" t="s">
        <v>22</v>
      </c>
      <c r="I936" t="s">
        <v>23</v>
      </c>
      <c r="J936" t="s">
        <v>26</v>
      </c>
      <c r="K936">
        <v>18797</v>
      </c>
      <c r="L936">
        <v>5</v>
      </c>
      <c r="M936">
        <v>93985</v>
      </c>
      <c r="N936" t="s">
        <v>21</v>
      </c>
    </row>
    <row r="937" spans="5:14" x14ac:dyDescent="0.35">
      <c r="E937" t="s">
        <v>57</v>
      </c>
      <c r="F937" t="s">
        <v>34</v>
      </c>
      <c r="G937" t="s">
        <v>12</v>
      </c>
      <c r="H937" t="s">
        <v>22</v>
      </c>
      <c r="I937" t="s">
        <v>27</v>
      </c>
      <c r="J937" t="s">
        <v>28</v>
      </c>
      <c r="K937">
        <v>17467</v>
      </c>
      <c r="L937">
        <v>3</v>
      </c>
      <c r="M937">
        <v>52401</v>
      </c>
      <c r="N937" t="s">
        <v>18</v>
      </c>
    </row>
    <row r="938" spans="5:14" x14ac:dyDescent="0.35">
      <c r="E938" t="s">
        <v>57</v>
      </c>
      <c r="F938" t="s">
        <v>35</v>
      </c>
      <c r="G938" t="s">
        <v>36</v>
      </c>
      <c r="H938" t="s">
        <v>13</v>
      </c>
      <c r="I938" t="s">
        <v>14</v>
      </c>
      <c r="J938" t="s">
        <v>15</v>
      </c>
      <c r="K938">
        <v>13952</v>
      </c>
      <c r="L938">
        <v>10</v>
      </c>
      <c r="M938">
        <v>139520</v>
      </c>
      <c r="N938" t="s">
        <v>18</v>
      </c>
    </row>
    <row r="939" spans="5:14" x14ac:dyDescent="0.35">
      <c r="E939" t="s">
        <v>57</v>
      </c>
      <c r="F939" t="s">
        <v>35</v>
      </c>
      <c r="G939" t="s">
        <v>36</v>
      </c>
      <c r="H939" t="s">
        <v>13</v>
      </c>
      <c r="I939" t="s">
        <v>14</v>
      </c>
      <c r="J939" t="s">
        <v>17</v>
      </c>
      <c r="K939">
        <v>7923</v>
      </c>
      <c r="L939">
        <v>20</v>
      </c>
      <c r="M939">
        <v>158460</v>
      </c>
      <c r="N939" t="s">
        <v>21</v>
      </c>
    </row>
    <row r="940" spans="5:14" x14ac:dyDescent="0.35">
      <c r="E940" t="s">
        <v>57</v>
      </c>
      <c r="F940" t="s">
        <v>35</v>
      </c>
      <c r="G940" t="s">
        <v>36</v>
      </c>
      <c r="H940" t="s">
        <v>13</v>
      </c>
      <c r="I940" t="s">
        <v>14</v>
      </c>
      <c r="J940" t="s">
        <v>19</v>
      </c>
      <c r="K940">
        <v>7408</v>
      </c>
      <c r="L940">
        <v>30</v>
      </c>
      <c r="M940">
        <v>222240</v>
      </c>
      <c r="N940" t="s">
        <v>21</v>
      </c>
    </row>
    <row r="941" spans="5:14" x14ac:dyDescent="0.35">
      <c r="E941" t="s">
        <v>57</v>
      </c>
      <c r="F941" t="s">
        <v>35</v>
      </c>
      <c r="G941" t="s">
        <v>36</v>
      </c>
      <c r="H941" t="s">
        <v>13</v>
      </c>
      <c r="I941" t="s">
        <v>14</v>
      </c>
      <c r="J941" t="s">
        <v>20</v>
      </c>
      <c r="K941">
        <v>12248</v>
      </c>
      <c r="L941">
        <v>15</v>
      </c>
      <c r="M941">
        <v>183720</v>
      </c>
      <c r="N941" t="s">
        <v>21</v>
      </c>
    </row>
    <row r="942" spans="5:14" x14ac:dyDescent="0.35">
      <c r="E942" t="s">
        <v>57</v>
      </c>
      <c r="F942" t="s">
        <v>35</v>
      </c>
      <c r="G942" t="s">
        <v>36</v>
      </c>
      <c r="H942" t="s">
        <v>22</v>
      </c>
      <c r="I942" t="s">
        <v>23</v>
      </c>
      <c r="J942" t="s">
        <v>24</v>
      </c>
      <c r="K942">
        <v>10690</v>
      </c>
      <c r="L942">
        <v>2</v>
      </c>
      <c r="M942">
        <v>21380</v>
      </c>
      <c r="N942" t="s">
        <v>16</v>
      </c>
    </row>
    <row r="943" spans="5:14" x14ac:dyDescent="0.35">
      <c r="E943" t="s">
        <v>57</v>
      </c>
      <c r="F943" t="s">
        <v>35</v>
      </c>
      <c r="G943" t="s">
        <v>36</v>
      </c>
      <c r="H943" t="s">
        <v>22</v>
      </c>
      <c r="I943" t="s">
        <v>23</v>
      </c>
      <c r="J943" t="s">
        <v>25</v>
      </c>
      <c r="K943">
        <v>9526</v>
      </c>
      <c r="L943">
        <v>2</v>
      </c>
      <c r="M943">
        <v>19052</v>
      </c>
      <c r="N943" t="s">
        <v>18</v>
      </c>
    </row>
    <row r="944" spans="5:14" x14ac:dyDescent="0.35">
      <c r="E944" t="s">
        <v>57</v>
      </c>
      <c r="F944" t="s">
        <v>35</v>
      </c>
      <c r="G944" t="s">
        <v>36</v>
      </c>
      <c r="H944" t="s">
        <v>22</v>
      </c>
      <c r="I944" t="s">
        <v>23</v>
      </c>
      <c r="J944" t="s">
        <v>26</v>
      </c>
      <c r="K944">
        <v>15878</v>
      </c>
      <c r="L944">
        <v>5</v>
      </c>
      <c r="M944">
        <v>79390</v>
      </c>
      <c r="N944" t="s">
        <v>21</v>
      </c>
    </row>
    <row r="945" spans="5:14" x14ac:dyDescent="0.35">
      <c r="E945" t="s">
        <v>57</v>
      </c>
      <c r="F945" t="s">
        <v>35</v>
      </c>
      <c r="G945" t="s">
        <v>36</v>
      </c>
      <c r="H945" t="s">
        <v>22</v>
      </c>
      <c r="I945" t="s">
        <v>27</v>
      </c>
      <c r="J945" t="s">
        <v>28</v>
      </c>
      <c r="K945">
        <v>18994</v>
      </c>
      <c r="L945">
        <v>3</v>
      </c>
      <c r="M945">
        <v>56982</v>
      </c>
      <c r="N945" t="s">
        <v>21</v>
      </c>
    </row>
    <row r="946" spans="5:14" x14ac:dyDescent="0.35">
      <c r="E946" t="s">
        <v>57</v>
      </c>
      <c r="F946" t="s">
        <v>37</v>
      </c>
      <c r="G946" t="s">
        <v>36</v>
      </c>
      <c r="H946" t="s">
        <v>13</v>
      </c>
      <c r="I946" t="s">
        <v>14</v>
      </c>
      <c r="J946" t="s">
        <v>15</v>
      </c>
      <c r="K946">
        <v>10716</v>
      </c>
      <c r="L946">
        <v>10</v>
      </c>
      <c r="M946">
        <v>107160</v>
      </c>
      <c r="N946" t="s">
        <v>18</v>
      </c>
    </row>
    <row r="947" spans="5:14" x14ac:dyDescent="0.35">
      <c r="E947" t="s">
        <v>57</v>
      </c>
      <c r="F947" t="s">
        <v>37</v>
      </c>
      <c r="G947" t="s">
        <v>36</v>
      </c>
      <c r="H947" t="s">
        <v>13</v>
      </c>
      <c r="I947" t="s">
        <v>14</v>
      </c>
      <c r="J947" t="s">
        <v>17</v>
      </c>
      <c r="K947">
        <v>10412</v>
      </c>
      <c r="L947">
        <v>20</v>
      </c>
      <c r="M947">
        <v>208240</v>
      </c>
      <c r="N947" t="s">
        <v>18</v>
      </c>
    </row>
    <row r="948" spans="5:14" x14ac:dyDescent="0.35">
      <c r="E948" t="s">
        <v>57</v>
      </c>
      <c r="F948" t="s">
        <v>37</v>
      </c>
      <c r="G948" t="s">
        <v>36</v>
      </c>
      <c r="H948" t="s">
        <v>13</v>
      </c>
      <c r="I948" t="s">
        <v>14</v>
      </c>
      <c r="J948" t="s">
        <v>19</v>
      </c>
      <c r="K948">
        <v>5140</v>
      </c>
      <c r="L948">
        <v>30</v>
      </c>
      <c r="M948">
        <v>154200</v>
      </c>
      <c r="N948" t="s">
        <v>18</v>
      </c>
    </row>
    <row r="949" spans="5:14" x14ac:dyDescent="0.35">
      <c r="E949" t="s">
        <v>57</v>
      </c>
      <c r="F949" t="s">
        <v>37</v>
      </c>
      <c r="G949" t="s">
        <v>36</v>
      </c>
      <c r="H949" t="s">
        <v>13</v>
      </c>
      <c r="I949" t="s">
        <v>14</v>
      </c>
      <c r="J949" t="s">
        <v>20</v>
      </c>
      <c r="K949">
        <v>5366</v>
      </c>
      <c r="L949">
        <v>15</v>
      </c>
      <c r="M949">
        <v>80490</v>
      </c>
      <c r="N949" t="s">
        <v>21</v>
      </c>
    </row>
    <row r="950" spans="5:14" x14ac:dyDescent="0.35">
      <c r="E950" t="s">
        <v>57</v>
      </c>
      <c r="F950" t="s">
        <v>37</v>
      </c>
      <c r="G950" t="s">
        <v>36</v>
      </c>
      <c r="H950" t="s">
        <v>22</v>
      </c>
      <c r="I950" t="s">
        <v>23</v>
      </c>
      <c r="J950" t="s">
        <v>24</v>
      </c>
      <c r="K950">
        <v>18511</v>
      </c>
      <c r="L950">
        <v>2</v>
      </c>
      <c r="M950">
        <v>37022</v>
      </c>
      <c r="N950" t="s">
        <v>18</v>
      </c>
    </row>
    <row r="951" spans="5:14" x14ac:dyDescent="0.35">
      <c r="E951" t="s">
        <v>57</v>
      </c>
      <c r="F951" t="s">
        <v>37</v>
      </c>
      <c r="G951" t="s">
        <v>36</v>
      </c>
      <c r="H951" t="s">
        <v>22</v>
      </c>
      <c r="I951" t="s">
        <v>23</v>
      </c>
      <c r="J951" t="s">
        <v>25</v>
      </c>
      <c r="K951">
        <v>13391</v>
      </c>
      <c r="L951">
        <v>2</v>
      </c>
      <c r="M951">
        <v>26782</v>
      </c>
      <c r="N951" t="s">
        <v>21</v>
      </c>
    </row>
    <row r="952" spans="5:14" x14ac:dyDescent="0.35">
      <c r="E952" t="s">
        <v>57</v>
      </c>
      <c r="F952" t="s">
        <v>37</v>
      </c>
      <c r="G952" t="s">
        <v>36</v>
      </c>
      <c r="H952" t="s">
        <v>22</v>
      </c>
      <c r="I952" t="s">
        <v>23</v>
      </c>
      <c r="J952" t="s">
        <v>26</v>
      </c>
      <c r="K952">
        <v>13273</v>
      </c>
      <c r="L952">
        <v>5</v>
      </c>
      <c r="M952">
        <v>66365</v>
      </c>
      <c r="N952" t="s">
        <v>21</v>
      </c>
    </row>
    <row r="953" spans="5:14" x14ac:dyDescent="0.35">
      <c r="E953" t="s">
        <v>57</v>
      </c>
      <c r="F953" t="s">
        <v>37</v>
      </c>
      <c r="G953" t="s">
        <v>36</v>
      </c>
      <c r="H953" t="s">
        <v>22</v>
      </c>
      <c r="I953" t="s">
        <v>27</v>
      </c>
      <c r="J953" t="s">
        <v>28</v>
      </c>
      <c r="K953">
        <v>16751</v>
      </c>
      <c r="L953">
        <v>3</v>
      </c>
      <c r="M953">
        <v>50253</v>
      </c>
      <c r="N953" t="s">
        <v>16</v>
      </c>
    </row>
    <row r="954" spans="5:14" x14ac:dyDescent="0.35">
      <c r="E954" t="s">
        <v>57</v>
      </c>
      <c r="F954" t="s">
        <v>38</v>
      </c>
      <c r="G954" t="s">
        <v>36</v>
      </c>
      <c r="H954" t="s">
        <v>13</v>
      </c>
      <c r="I954" t="s">
        <v>14</v>
      </c>
      <c r="J954" t="s">
        <v>15</v>
      </c>
      <c r="K954">
        <v>14863</v>
      </c>
      <c r="L954">
        <v>10</v>
      </c>
      <c r="M954">
        <v>148630</v>
      </c>
      <c r="N954" t="s">
        <v>16</v>
      </c>
    </row>
    <row r="955" spans="5:14" x14ac:dyDescent="0.35">
      <c r="E955" t="s">
        <v>57</v>
      </c>
      <c r="F955" t="s">
        <v>38</v>
      </c>
      <c r="G955" t="s">
        <v>36</v>
      </c>
      <c r="H955" t="s">
        <v>13</v>
      </c>
      <c r="I955" t="s">
        <v>14</v>
      </c>
      <c r="J955" t="s">
        <v>17</v>
      </c>
      <c r="K955">
        <v>8226</v>
      </c>
      <c r="L955">
        <v>20</v>
      </c>
      <c r="M955">
        <v>164520</v>
      </c>
      <c r="N955" t="s">
        <v>18</v>
      </c>
    </row>
    <row r="956" spans="5:14" x14ac:dyDescent="0.35">
      <c r="E956" t="s">
        <v>57</v>
      </c>
      <c r="F956" t="s">
        <v>38</v>
      </c>
      <c r="G956" t="s">
        <v>36</v>
      </c>
      <c r="H956" t="s">
        <v>13</v>
      </c>
      <c r="I956" t="s">
        <v>14</v>
      </c>
      <c r="J956" t="s">
        <v>19</v>
      </c>
      <c r="K956">
        <v>8915</v>
      </c>
      <c r="L956">
        <v>30</v>
      </c>
      <c r="M956">
        <v>267450</v>
      </c>
      <c r="N956" t="s">
        <v>21</v>
      </c>
    </row>
    <row r="957" spans="5:14" x14ac:dyDescent="0.35">
      <c r="E957" t="s">
        <v>57</v>
      </c>
      <c r="F957" t="s">
        <v>38</v>
      </c>
      <c r="G957" t="s">
        <v>36</v>
      </c>
      <c r="H957" t="s">
        <v>13</v>
      </c>
      <c r="I957" t="s">
        <v>14</v>
      </c>
      <c r="J957" t="s">
        <v>20</v>
      </c>
      <c r="K957">
        <v>7883</v>
      </c>
      <c r="L957">
        <v>15</v>
      </c>
      <c r="M957">
        <v>118245</v>
      </c>
      <c r="N957" t="s">
        <v>21</v>
      </c>
    </row>
    <row r="958" spans="5:14" x14ac:dyDescent="0.35">
      <c r="E958" t="s">
        <v>57</v>
      </c>
      <c r="F958" t="s">
        <v>38</v>
      </c>
      <c r="G958" t="s">
        <v>36</v>
      </c>
      <c r="H958" t="s">
        <v>22</v>
      </c>
      <c r="I958" t="s">
        <v>23</v>
      </c>
      <c r="J958" t="s">
        <v>24</v>
      </c>
      <c r="K958">
        <v>15125</v>
      </c>
      <c r="L958">
        <v>2</v>
      </c>
      <c r="M958">
        <v>30250</v>
      </c>
      <c r="N958" t="s">
        <v>16</v>
      </c>
    </row>
    <row r="959" spans="5:14" x14ac:dyDescent="0.35">
      <c r="E959" t="s">
        <v>57</v>
      </c>
      <c r="F959" t="s">
        <v>38</v>
      </c>
      <c r="G959" t="s">
        <v>36</v>
      </c>
      <c r="H959" t="s">
        <v>22</v>
      </c>
      <c r="I959" t="s">
        <v>23</v>
      </c>
      <c r="J959" t="s">
        <v>25</v>
      </c>
      <c r="K959">
        <v>17061</v>
      </c>
      <c r="L959">
        <v>2</v>
      </c>
      <c r="M959">
        <v>34122</v>
      </c>
      <c r="N959" t="s">
        <v>21</v>
      </c>
    </row>
    <row r="960" spans="5:14" x14ac:dyDescent="0.35">
      <c r="E960" t="s">
        <v>57</v>
      </c>
      <c r="F960" t="s">
        <v>38</v>
      </c>
      <c r="G960" t="s">
        <v>36</v>
      </c>
      <c r="H960" t="s">
        <v>22</v>
      </c>
      <c r="I960" t="s">
        <v>23</v>
      </c>
      <c r="J960" t="s">
        <v>26</v>
      </c>
      <c r="K960">
        <v>19726</v>
      </c>
      <c r="L960">
        <v>5</v>
      </c>
      <c r="M960">
        <v>98630</v>
      </c>
      <c r="N960" t="s">
        <v>18</v>
      </c>
    </row>
    <row r="961" spans="5:14" x14ac:dyDescent="0.35">
      <c r="E961" t="s">
        <v>57</v>
      </c>
      <c r="F961" t="s">
        <v>38</v>
      </c>
      <c r="G961" t="s">
        <v>36</v>
      </c>
      <c r="H961" t="s">
        <v>22</v>
      </c>
      <c r="I961" t="s">
        <v>27</v>
      </c>
      <c r="J961" t="s">
        <v>28</v>
      </c>
      <c r="K961">
        <v>10295</v>
      </c>
      <c r="L961">
        <v>3</v>
      </c>
      <c r="M961">
        <v>30885</v>
      </c>
      <c r="N961" t="s">
        <v>16</v>
      </c>
    </row>
    <row r="962" spans="5:14" x14ac:dyDescent="0.35">
      <c r="E962" t="s">
        <v>57</v>
      </c>
      <c r="F962" t="s">
        <v>39</v>
      </c>
      <c r="G962" t="s">
        <v>36</v>
      </c>
      <c r="H962" t="s">
        <v>13</v>
      </c>
      <c r="I962" t="s">
        <v>14</v>
      </c>
      <c r="J962" t="s">
        <v>15</v>
      </c>
      <c r="K962">
        <v>14479</v>
      </c>
      <c r="L962">
        <v>10</v>
      </c>
      <c r="M962">
        <v>144790</v>
      </c>
      <c r="N962" t="s">
        <v>16</v>
      </c>
    </row>
    <row r="963" spans="5:14" x14ac:dyDescent="0.35">
      <c r="E963" t="s">
        <v>57</v>
      </c>
      <c r="F963" t="s">
        <v>39</v>
      </c>
      <c r="G963" t="s">
        <v>36</v>
      </c>
      <c r="H963" t="s">
        <v>13</v>
      </c>
      <c r="I963" t="s">
        <v>14</v>
      </c>
      <c r="J963" t="s">
        <v>17</v>
      </c>
      <c r="K963">
        <v>5569</v>
      </c>
      <c r="L963">
        <v>20</v>
      </c>
      <c r="M963">
        <v>111380</v>
      </c>
      <c r="N963" t="s">
        <v>18</v>
      </c>
    </row>
    <row r="964" spans="5:14" x14ac:dyDescent="0.35">
      <c r="E964" t="s">
        <v>57</v>
      </c>
      <c r="F964" t="s">
        <v>39</v>
      </c>
      <c r="G964" t="s">
        <v>36</v>
      </c>
      <c r="H964" t="s">
        <v>13</v>
      </c>
      <c r="I964" t="s">
        <v>14</v>
      </c>
      <c r="J964" t="s">
        <v>19</v>
      </c>
      <c r="K964">
        <v>6739</v>
      </c>
      <c r="L964">
        <v>30</v>
      </c>
      <c r="M964">
        <v>202170</v>
      </c>
      <c r="N964" t="s">
        <v>21</v>
      </c>
    </row>
    <row r="965" spans="5:14" x14ac:dyDescent="0.35">
      <c r="E965" t="s">
        <v>57</v>
      </c>
      <c r="F965" t="s">
        <v>39</v>
      </c>
      <c r="G965" t="s">
        <v>36</v>
      </c>
      <c r="H965" t="s">
        <v>13</v>
      </c>
      <c r="I965" t="s">
        <v>14</v>
      </c>
      <c r="J965" t="s">
        <v>20</v>
      </c>
      <c r="K965">
        <v>10558</v>
      </c>
      <c r="L965">
        <v>15</v>
      </c>
      <c r="M965">
        <v>158370</v>
      </c>
      <c r="N965" t="s">
        <v>16</v>
      </c>
    </row>
    <row r="966" spans="5:14" x14ac:dyDescent="0.35">
      <c r="E966" t="s">
        <v>57</v>
      </c>
      <c r="F966" t="s">
        <v>39</v>
      </c>
      <c r="G966" t="s">
        <v>36</v>
      </c>
      <c r="H966" t="s">
        <v>22</v>
      </c>
      <c r="I966" t="s">
        <v>23</v>
      </c>
      <c r="J966" t="s">
        <v>24</v>
      </c>
      <c r="K966">
        <v>20520</v>
      </c>
      <c r="L966">
        <v>2</v>
      </c>
      <c r="M966">
        <v>41040</v>
      </c>
      <c r="N966" t="s">
        <v>18</v>
      </c>
    </row>
    <row r="967" spans="5:14" x14ac:dyDescent="0.35">
      <c r="E967" t="s">
        <v>57</v>
      </c>
      <c r="F967" t="s">
        <v>39</v>
      </c>
      <c r="G967" t="s">
        <v>36</v>
      </c>
      <c r="H967" t="s">
        <v>22</v>
      </c>
      <c r="I967" t="s">
        <v>23</v>
      </c>
      <c r="J967" t="s">
        <v>25</v>
      </c>
      <c r="K967">
        <v>15599</v>
      </c>
      <c r="L967">
        <v>2</v>
      </c>
      <c r="M967">
        <v>31198</v>
      </c>
      <c r="N967" t="s">
        <v>16</v>
      </c>
    </row>
    <row r="968" spans="5:14" x14ac:dyDescent="0.35">
      <c r="E968" t="s">
        <v>57</v>
      </c>
      <c r="F968" t="s">
        <v>39</v>
      </c>
      <c r="G968" t="s">
        <v>36</v>
      </c>
      <c r="H968" t="s">
        <v>22</v>
      </c>
      <c r="I968" t="s">
        <v>23</v>
      </c>
      <c r="J968" t="s">
        <v>26</v>
      </c>
      <c r="K968">
        <v>11908</v>
      </c>
      <c r="L968">
        <v>5</v>
      </c>
      <c r="M968">
        <v>59540</v>
      </c>
      <c r="N968" t="s">
        <v>18</v>
      </c>
    </row>
    <row r="969" spans="5:14" x14ac:dyDescent="0.35">
      <c r="E969" t="s">
        <v>57</v>
      </c>
      <c r="F969" t="s">
        <v>39</v>
      </c>
      <c r="G969" t="s">
        <v>36</v>
      </c>
      <c r="H969" t="s">
        <v>22</v>
      </c>
      <c r="I969" t="s">
        <v>27</v>
      </c>
      <c r="J969" t="s">
        <v>28</v>
      </c>
      <c r="K969">
        <v>12534</v>
      </c>
      <c r="L969">
        <v>3</v>
      </c>
      <c r="M969">
        <v>37602</v>
      </c>
      <c r="N969" t="s">
        <v>18</v>
      </c>
    </row>
    <row r="970" spans="5:14" x14ac:dyDescent="0.35">
      <c r="E970" t="s">
        <v>57</v>
      </c>
      <c r="F970" t="s">
        <v>40</v>
      </c>
      <c r="G970" t="s">
        <v>36</v>
      </c>
      <c r="H970" t="s">
        <v>13</v>
      </c>
      <c r="I970" t="s">
        <v>14</v>
      </c>
      <c r="J970" t="s">
        <v>15</v>
      </c>
      <c r="K970">
        <v>7209</v>
      </c>
      <c r="L970">
        <v>10</v>
      </c>
      <c r="M970">
        <v>72090</v>
      </c>
      <c r="N970" t="s">
        <v>16</v>
      </c>
    </row>
    <row r="971" spans="5:14" x14ac:dyDescent="0.35">
      <c r="E971" t="s">
        <v>57</v>
      </c>
      <c r="F971" t="s">
        <v>40</v>
      </c>
      <c r="G971" t="s">
        <v>36</v>
      </c>
      <c r="H971" t="s">
        <v>13</v>
      </c>
      <c r="I971" t="s">
        <v>14</v>
      </c>
      <c r="J971" t="s">
        <v>17</v>
      </c>
      <c r="K971">
        <v>12715</v>
      </c>
      <c r="L971">
        <v>20</v>
      </c>
      <c r="M971">
        <v>254300</v>
      </c>
      <c r="N971" t="s">
        <v>21</v>
      </c>
    </row>
    <row r="972" spans="5:14" x14ac:dyDescent="0.35">
      <c r="E972" t="s">
        <v>57</v>
      </c>
      <c r="F972" t="s">
        <v>40</v>
      </c>
      <c r="G972" t="s">
        <v>36</v>
      </c>
      <c r="H972" t="s">
        <v>13</v>
      </c>
      <c r="I972" t="s">
        <v>14</v>
      </c>
      <c r="J972" t="s">
        <v>19</v>
      </c>
      <c r="K972">
        <v>6929</v>
      </c>
      <c r="L972">
        <v>30</v>
      </c>
      <c r="M972">
        <v>207870</v>
      </c>
      <c r="N972" t="s">
        <v>21</v>
      </c>
    </row>
    <row r="973" spans="5:14" x14ac:dyDescent="0.35">
      <c r="E973" t="s">
        <v>57</v>
      </c>
      <c r="F973" t="s">
        <v>40</v>
      </c>
      <c r="G973" t="s">
        <v>36</v>
      </c>
      <c r="H973" t="s">
        <v>13</v>
      </c>
      <c r="I973" t="s">
        <v>14</v>
      </c>
      <c r="J973" t="s">
        <v>20</v>
      </c>
      <c r="K973">
        <v>12812</v>
      </c>
      <c r="L973">
        <v>15</v>
      </c>
      <c r="M973">
        <v>192180</v>
      </c>
      <c r="N973" t="s">
        <v>21</v>
      </c>
    </row>
    <row r="974" spans="5:14" x14ac:dyDescent="0.35">
      <c r="E974" t="s">
        <v>57</v>
      </c>
      <c r="F974" t="s">
        <v>40</v>
      </c>
      <c r="G974" t="s">
        <v>36</v>
      </c>
      <c r="H974" t="s">
        <v>22</v>
      </c>
      <c r="I974" t="s">
        <v>23</v>
      </c>
      <c r="J974" t="s">
        <v>24</v>
      </c>
      <c r="K974">
        <v>12095</v>
      </c>
      <c r="L974">
        <v>2</v>
      </c>
      <c r="M974">
        <v>24190</v>
      </c>
      <c r="N974" t="s">
        <v>18</v>
      </c>
    </row>
    <row r="975" spans="5:14" x14ac:dyDescent="0.35">
      <c r="E975" t="s">
        <v>57</v>
      </c>
      <c r="F975" t="s">
        <v>40</v>
      </c>
      <c r="G975" t="s">
        <v>36</v>
      </c>
      <c r="H975" t="s">
        <v>22</v>
      </c>
      <c r="I975" t="s">
        <v>23</v>
      </c>
      <c r="J975" t="s">
        <v>25</v>
      </c>
      <c r="K975">
        <v>7857</v>
      </c>
      <c r="L975">
        <v>2</v>
      </c>
      <c r="M975">
        <v>15714</v>
      </c>
      <c r="N975" t="s">
        <v>21</v>
      </c>
    </row>
    <row r="976" spans="5:14" x14ac:dyDescent="0.35">
      <c r="E976" t="s">
        <v>57</v>
      </c>
      <c r="F976" t="s">
        <v>40</v>
      </c>
      <c r="G976" t="s">
        <v>36</v>
      </c>
      <c r="H976" t="s">
        <v>22</v>
      </c>
      <c r="I976" t="s">
        <v>23</v>
      </c>
      <c r="J976" t="s">
        <v>26</v>
      </c>
      <c r="K976">
        <v>11663</v>
      </c>
      <c r="L976">
        <v>5</v>
      </c>
      <c r="M976">
        <v>58315</v>
      </c>
      <c r="N976" t="s">
        <v>16</v>
      </c>
    </row>
    <row r="977" spans="5:14" x14ac:dyDescent="0.35">
      <c r="E977" t="s">
        <v>57</v>
      </c>
      <c r="F977" t="s">
        <v>40</v>
      </c>
      <c r="G977" t="s">
        <v>36</v>
      </c>
      <c r="H977" t="s">
        <v>22</v>
      </c>
      <c r="I977" t="s">
        <v>27</v>
      </c>
      <c r="J977" t="s">
        <v>28</v>
      </c>
      <c r="K977">
        <v>18736</v>
      </c>
      <c r="L977">
        <v>3</v>
      </c>
      <c r="M977">
        <v>56208</v>
      </c>
      <c r="N977" t="s">
        <v>21</v>
      </c>
    </row>
    <row r="978" spans="5:14" x14ac:dyDescent="0.35">
      <c r="E978" t="s">
        <v>57</v>
      </c>
      <c r="F978" t="s">
        <v>41</v>
      </c>
      <c r="G978" t="s">
        <v>42</v>
      </c>
      <c r="H978" t="s">
        <v>13</v>
      </c>
      <c r="I978" t="s">
        <v>14</v>
      </c>
      <c r="J978" t="s">
        <v>15</v>
      </c>
      <c r="K978">
        <v>8698</v>
      </c>
      <c r="L978">
        <v>10</v>
      </c>
      <c r="M978">
        <v>86980</v>
      </c>
      <c r="N978" t="s">
        <v>21</v>
      </c>
    </row>
    <row r="979" spans="5:14" x14ac:dyDescent="0.35">
      <c r="E979" t="s">
        <v>57</v>
      </c>
      <c r="F979" t="s">
        <v>41</v>
      </c>
      <c r="G979" t="s">
        <v>42</v>
      </c>
      <c r="H979" t="s">
        <v>13</v>
      </c>
      <c r="I979" t="s">
        <v>14</v>
      </c>
      <c r="J979" t="s">
        <v>17</v>
      </c>
      <c r="K979">
        <v>13724</v>
      </c>
      <c r="L979">
        <v>20</v>
      </c>
      <c r="M979">
        <v>274480</v>
      </c>
      <c r="N979" t="s">
        <v>21</v>
      </c>
    </row>
    <row r="980" spans="5:14" x14ac:dyDescent="0.35">
      <c r="E980" t="s">
        <v>57</v>
      </c>
      <c r="F980" t="s">
        <v>41</v>
      </c>
      <c r="G980" t="s">
        <v>42</v>
      </c>
      <c r="H980" t="s">
        <v>13</v>
      </c>
      <c r="I980" t="s">
        <v>14</v>
      </c>
      <c r="J980" t="s">
        <v>19</v>
      </c>
      <c r="K980">
        <v>13037</v>
      </c>
      <c r="L980">
        <v>30</v>
      </c>
      <c r="M980">
        <v>391110</v>
      </c>
      <c r="N980" t="s">
        <v>21</v>
      </c>
    </row>
    <row r="981" spans="5:14" x14ac:dyDescent="0.35">
      <c r="E981" t="s">
        <v>57</v>
      </c>
      <c r="F981" t="s">
        <v>41</v>
      </c>
      <c r="G981" t="s">
        <v>42</v>
      </c>
      <c r="H981" t="s">
        <v>13</v>
      </c>
      <c r="I981" t="s">
        <v>14</v>
      </c>
      <c r="J981" t="s">
        <v>20</v>
      </c>
      <c r="K981">
        <v>7904</v>
      </c>
      <c r="L981">
        <v>15</v>
      </c>
      <c r="M981">
        <v>118560</v>
      </c>
      <c r="N981" t="s">
        <v>21</v>
      </c>
    </row>
    <row r="982" spans="5:14" x14ac:dyDescent="0.35">
      <c r="E982" t="s">
        <v>57</v>
      </c>
      <c r="F982" t="s">
        <v>41</v>
      </c>
      <c r="G982" t="s">
        <v>42</v>
      </c>
      <c r="H982" t="s">
        <v>22</v>
      </c>
      <c r="I982" t="s">
        <v>23</v>
      </c>
      <c r="J982" t="s">
        <v>24</v>
      </c>
      <c r="K982">
        <v>6881</v>
      </c>
      <c r="L982">
        <v>2</v>
      </c>
      <c r="M982">
        <v>13762</v>
      </c>
      <c r="N982" t="s">
        <v>18</v>
      </c>
    </row>
    <row r="983" spans="5:14" x14ac:dyDescent="0.35">
      <c r="E983" t="s">
        <v>57</v>
      </c>
      <c r="F983" t="s">
        <v>41</v>
      </c>
      <c r="G983" t="s">
        <v>42</v>
      </c>
      <c r="H983" t="s">
        <v>22</v>
      </c>
      <c r="I983" t="s">
        <v>23</v>
      </c>
      <c r="J983" t="s">
        <v>25</v>
      </c>
      <c r="K983">
        <v>12708</v>
      </c>
      <c r="L983">
        <v>2</v>
      </c>
      <c r="M983">
        <v>25416</v>
      </c>
      <c r="N983" t="s">
        <v>16</v>
      </c>
    </row>
    <row r="984" spans="5:14" x14ac:dyDescent="0.35">
      <c r="E984" t="s">
        <v>57</v>
      </c>
      <c r="F984" t="s">
        <v>41</v>
      </c>
      <c r="G984" t="s">
        <v>42</v>
      </c>
      <c r="H984" t="s">
        <v>22</v>
      </c>
      <c r="I984" t="s">
        <v>23</v>
      </c>
      <c r="J984" t="s">
        <v>26</v>
      </c>
      <c r="K984">
        <v>18134</v>
      </c>
      <c r="L984">
        <v>5</v>
      </c>
      <c r="M984">
        <v>90670</v>
      </c>
      <c r="N984" t="s">
        <v>18</v>
      </c>
    </row>
    <row r="985" spans="5:14" x14ac:dyDescent="0.35">
      <c r="E985" t="s">
        <v>57</v>
      </c>
      <c r="F985" t="s">
        <v>41</v>
      </c>
      <c r="G985" t="s">
        <v>42</v>
      </c>
      <c r="H985" t="s">
        <v>22</v>
      </c>
      <c r="I985" t="s">
        <v>27</v>
      </c>
      <c r="J985" t="s">
        <v>28</v>
      </c>
      <c r="K985">
        <v>14899</v>
      </c>
      <c r="L985">
        <v>3</v>
      </c>
      <c r="M985">
        <v>44697</v>
      </c>
      <c r="N985" t="s">
        <v>16</v>
      </c>
    </row>
    <row r="986" spans="5:14" x14ac:dyDescent="0.35">
      <c r="E986" t="s">
        <v>57</v>
      </c>
      <c r="F986" t="s">
        <v>43</v>
      </c>
      <c r="G986" t="s">
        <v>42</v>
      </c>
      <c r="H986" t="s">
        <v>13</v>
      </c>
      <c r="I986" t="s">
        <v>14</v>
      </c>
      <c r="J986" t="s">
        <v>15</v>
      </c>
      <c r="K986">
        <v>7113</v>
      </c>
      <c r="L986">
        <v>10</v>
      </c>
      <c r="M986">
        <v>71130</v>
      </c>
      <c r="N986" t="s">
        <v>21</v>
      </c>
    </row>
    <row r="987" spans="5:14" x14ac:dyDescent="0.35">
      <c r="E987" t="s">
        <v>57</v>
      </c>
      <c r="F987" t="s">
        <v>43</v>
      </c>
      <c r="G987" t="s">
        <v>42</v>
      </c>
      <c r="H987" t="s">
        <v>13</v>
      </c>
      <c r="I987" t="s">
        <v>14</v>
      </c>
      <c r="J987" t="s">
        <v>17</v>
      </c>
      <c r="K987">
        <v>7140</v>
      </c>
      <c r="L987">
        <v>20</v>
      </c>
      <c r="M987">
        <v>142800</v>
      </c>
      <c r="N987" t="s">
        <v>18</v>
      </c>
    </row>
    <row r="988" spans="5:14" x14ac:dyDescent="0.35">
      <c r="E988" t="s">
        <v>57</v>
      </c>
      <c r="F988" t="s">
        <v>43</v>
      </c>
      <c r="G988" t="s">
        <v>42</v>
      </c>
      <c r="H988" t="s">
        <v>13</v>
      </c>
      <c r="I988" t="s">
        <v>14</v>
      </c>
      <c r="J988" t="s">
        <v>19</v>
      </c>
      <c r="K988">
        <v>6279</v>
      </c>
      <c r="L988">
        <v>30</v>
      </c>
      <c r="M988">
        <v>188370</v>
      </c>
      <c r="N988" t="s">
        <v>16</v>
      </c>
    </row>
    <row r="989" spans="5:14" x14ac:dyDescent="0.35">
      <c r="E989" t="s">
        <v>57</v>
      </c>
      <c r="F989" t="s">
        <v>43</v>
      </c>
      <c r="G989" t="s">
        <v>42</v>
      </c>
      <c r="H989" t="s">
        <v>13</v>
      </c>
      <c r="I989" t="s">
        <v>14</v>
      </c>
      <c r="J989" t="s">
        <v>20</v>
      </c>
      <c r="K989">
        <v>5062</v>
      </c>
      <c r="L989">
        <v>15</v>
      </c>
      <c r="M989">
        <v>75930</v>
      </c>
      <c r="N989" t="s">
        <v>18</v>
      </c>
    </row>
    <row r="990" spans="5:14" x14ac:dyDescent="0.35">
      <c r="E990" t="s">
        <v>57</v>
      </c>
      <c r="F990" t="s">
        <v>43</v>
      </c>
      <c r="G990" t="s">
        <v>42</v>
      </c>
      <c r="H990" t="s">
        <v>22</v>
      </c>
      <c r="I990" t="s">
        <v>23</v>
      </c>
      <c r="J990" t="s">
        <v>24</v>
      </c>
      <c r="K990">
        <v>10144</v>
      </c>
      <c r="L990">
        <v>2</v>
      </c>
      <c r="M990">
        <v>20288</v>
      </c>
      <c r="N990" t="s">
        <v>16</v>
      </c>
    </row>
    <row r="991" spans="5:14" x14ac:dyDescent="0.35">
      <c r="E991" t="s">
        <v>57</v>
      </c>
      <c r="F991" t="s">
        <v>43</v>
      </c>
      <c r="G991" t="s">
        <v>42</v>
      </c>
      <c r="H991" t="s">
        <v>22</v>
      </c>
      <c r="I991" t="s">
        <v>23</v>
      </c>
      <c r="J991" t="s">
        <v>25</v>
      </c>
      <c r="K991">
        <v>18847</v>
      </c>
      <c r="L991">
        <v>2</v>
      </c>
      <c r="M991">
        <v>37694</v>
      </c>
      <c r="N991" t="s">
        <v>18</v>
      </c>
    </row>
    <row r="992" spans="5:14" x14ac:dyDescent="0.35">
      <c r="E992" t="s">
        <v>57</v>
      </c>
      <c r="F992" t="s">
        <v>43</v>
      </c>
      <c r="G992" t="s">
        <v>42</v>
      </c>
      <c r="H992" t="s">
        <v>22</v>
      </c>
      <c r="I992" t="s">
        <v>23</v>
      </c>
      <c r="J992" t="s">
        <v>26</v>
      </c>
      <c r="K992">
        <v>14468</v>
      </c>
      <c r="L992">
        <v>5</v>
      </c>
      <c r="M992">
        <v>72340</v>
      </c>
      <c r="N992" t="s">
        <v>21</v>
      </c>
    </row>
    <row r="993" spans="5:14" x14ac:dyDescent="0.35">
      <c r="E993" t="s">
        <v>57</v>
      </c>
      <c r="F993" t="s">
        <v>43</v>
      </c>
      <c r="G993" t="s">
        <v>42</v>
      </c>
      <c r="H993" t="s">
        <v>22</v>
      </c>
      <c r="I993" t="s">
        <v>27</v>
      </c>
      <c r="J993" t="s">
        <v>28</v>
      </c>
      <c r="K993">
        <v>18143</v>
      </c>
      <c r="L993">
        <v>3</v>
      </c>
      <c r="M993">
        <v>54429</v>
      </c>
      <c r="N993" t="s">
        <v>16</v>
      </c>
    </row>
    <row r="994" spans="5:14" x14ac:dyDescent="0.35">
      <c r="E994" t="s">
        <v>57</v>
      </c>
      <c r="F994" t="s">
        <v>44</v>
      </c>
      <c r="G994" t="s">
        <v>42</v>
      </c>
      <c r="H994" t="s">
        <v>13</v>
      </c>
      <c r="I994" t="s">
        <v>14</v>
      </c>
      <c r="J994" t="s">
        <v>15</v>
      </c>
      <c r="K994">
        <v>14751</v>
      </c>
      <c r="L994">
        <v>10</v>
      </c>
      <c r="M994">
        <v>147510</v>
      </c>
      <c r="N994" t="s">
        <v>18</v>
      </c>
    </row>
    <row r="995" spans="5:14" x14ac:dyDescent="0.35">
      <c r="E995" t="s">
        <v>57</v>
      </c>
      <c r="F995" t="s">
        <v>44</v>
      </c>
      <c r="G995" t="s">
        <v>42</v>
      </c>
      <c r="H995" t="s">
        <v>13</v>
      </c>
      <c r="I995" t="s">
        <v>14</v>
      </c>
      <c r="J995" t="s">
        <v>17</v>
      </c>
      <c r="K995">
        <v>8789</v>
      </c>
      <c r="L995">
        <v>20</v>
      </c>
      <c r="M995">
        <v>175780</v>
      </c>
      <c r="N995" t="s">
        <v>18</v>
      </c>
    </row>
    <row r="996" spans="5:14" x14ac:dyDescent="0.35">
      <c r="E996" t="s">
        <v>57</v>
      </c>
      <c r="F996" t="s">
        <v>44</v>
      </c>
      <c r="G996" t="s">
        <v>42</v>
      </c>
      <c r="H996" t="s">
        <v>13</v>
      </c>
      <c r="I996" t="s">
        <v>14</v>
      </c>
      <c r="J996" t="s">
        <v>19</v>
      </c>
      <c r="K996">
        <v>10969</v>
      </c>
      <c r="L996">
        <v>30</v>
      </c>
      <c r="M996">
        <v>329070</v>
      </c>
      <c r="N996" t="s">
        <v>18</v>
      </c>
    </row>
    <row r="997" spans="5:14" x14ac:dyDescent="0.35">
      <c r="E997" t="s">
        <v>57</v>
      </c>
      <c r="F997" t="s">
        <v>44</v>
      </c>
      <c r="G997" t="s">
        <v>42</v>
      </c>
      <c r="H997" t="s">
        <v>13</v>
      </c>
      <c r="I997" t="s">
        <v>14</v>
      </c>
      <c r="J997" t="s">
        <v>20</v>
      </c>
      <c r="K997">
        <v>13082</v>
      </c>
      <c r="L997">
        <v>15</v>
      </c>
      <c r="M997">
        <v>196230</v>
      </c>
      <c r="N997" t="s">
        <v>18</v>
      </c>
    </row>
    <row r="998" spans="5:14" x14ac:dyDescent="0.35">
      <c r="E998" t="s">
        <v>57</v>
      </c>
      <c r="F998" t="s">
        <v>44</v>
      </c>
      <c r="G998" t="s">
        <v>42</v>
      </c>
      <c r="H998" t="s">
        <v>22</v>
      </c>
      <c r="I998" t="s">
        <v>23</v>
      </c>
      <c r="J998" t="s">
        <v>24</v>
      </c>
      <c r="K998">
        <v>11819</v>
      </c>
      <c r="L998">
        <v>2</v>
      </c>
      <c r="M998">
        <v>23638</v>
      </c>
      <c r="N998" t="s">
        <v>21</v>
      </c>
    </row>
    <row r="999" spans="5:14" x14ac:dyDescent="0.35">
      <c r="E999" t="s">
        <v>57</v>
      </c>
      <c r="F999" t="s">
        <v>44</v>
      </c>
      <c r="G999" t="s">
        <v>42</v>
      </c>
      <c r="H999" t="s">
        <v>22</v>
      </c>
      <c r="I999" t="s">
        <v>23</v>
      </c>
      <c r="J999" t="s">
        <v>25</v>
      </c>
      <c r="K999">
        <v>13174</v>
      </c>
      <c r="L999">
        <v>2</v>
      </c>
      <c r="M999">
        <v>26348</v>
      </c>
      <c r="N999" t="s">
        <v>18</v>
      </c>
    </row>
    <row r="1000" spans="5:14" x14ac:dyDescent="0.35">
      <c r="E1000" t="s">
        <v>57</v>
      </c>
      <c r="F1000" t="s">
        <v>44</v>
      </c>
      <c r="G1000" t="s">
        <v>42</v>
      </c>
      <c r="H1000" t="s">
        <v>22</v>
      </c>
      <c r="I1000" t="s">
        <v>23</v>
      </c>
      <c r="J1000" t="s">
        <v>26</v>
      </c>
      <c r="K1000">
        <v>14372</v>
      </c>
      <c r="L1000">
        <v>5</v>
      </c>
      <c r="M1000">
        <v>71860</v>
      </c>
      <c r="N1000" t="s">
        <v>16</v>
      </c>
    </row>
    <row r="1001" spans="5:14" x14ac:dyDescent="0.35">
      <c r="E1001" t="s">
        <v>57</v>
      </c>
      <c r="F1001" t="s">
        <v>44</v>
      </c>
      <c r="G1001" t="s">
        <v>42</v>
      </c>
      <c r="H1001" t="s">
        <v>22</v>
      </c>
      <c r="I1001" t="s">
        <v>27</v>
      </c>
      <c r="J1001" t="s">
        <v>28</v>
      </c>
      <c r="K1001">
        <v>8290</v>
      </c>
      <c r="L1001">
        <v>3</v>
      </c>
      <c r="M1001">
        <v>24870</v>
      </c>
      <c r="N1001" t="s">
        <v>21</v>
      </c>
    </row>
    <row r="1002" spans="5:14" x14ac:dyDescent="0.35">
      <c r="E1002" t="s">
        <v>57</v>
      </c>
      <c r="F1002" t="s">
        <v>45</v>
      </c>
      <c r="G1002" t="s">
        <v>42</v>
      </c>
      <c r="H1002" t="s">
        <v>13</v>
      </c>
      <c r="I1002" t="s">
        <v>14</v>
      </c>
      <c r="J1002" t="s">
        <v>15</v>
      </c>
      <c r="K1002">
        <v>10681</v>
      </c>
      <c r="L1002">
        <v>10</v>
      </c>
      <c r="M1002">
        <v>106810</v>
      </c>
      <c r="N1002" t="s">
        <v>18</v>
      </c>
    </row>
    <row r="1003" spans="5:14" x14ac:dyDescent="0.35">
      <c r="E1003" t="s">
        <v>57</v>
      </c>
      <c r="F1003" t="s">
        <v>45</v>
      </c>
      <c r="G1003" t="s">
        <v>42</v>
      </c>
      <c r="H1003" t="s">
        <v>13</v>
      </c>
      <c r="I1003" t="s">
        <v>14</v>
      </c>
      <c r="J1003" t="s">
        <v>17</v>
      </c>
      <c r="K1003">
        <v>8123</v>
      </c>
      <c r="L1003">
        <v>20</v>
      </c>
      <c r="M1003">
        <v>162460</v>
      </c>
      <c r="N1003" t="s">
        <v>21</v>
      </c>
    </row>
    <row r="1004" spans="5:14" x14ac:dyDescent="0.35">
      <c r="E1004" t="s">
        <v>57</v>
      </c>
      <c r="F1004" t="s">
        <v>45</v>
      </c>
      <c r="G1004" t="s">
        <v>42</v>
      </c>
      <c r="H1004" t="s">
        <v>13</v>
      </c>
      <c r="I1004" t="s">
        <v>14</v>
      </c>
      <c r="J1004" t="s">
        <v>19</v>
      </c>
      <c r="K1004">
        <v>7956</v>
      </c>
      <c r="L1004">
        <v>30</v>
      </c>
      <c r="M1004">
        <v>238680</v>
      </c>
      <c r="N1004" t="s">
        <v>18</v>
      </c>
    </row>
    <row r="1005" spans="5:14" x14ac:dyDescent="0.35">
      <c r="E1005" t="s">
        <v>57</v>
      </c>
      <c r="F1005" t="s">
        <v>45</v>
      </c>
      <c r="G1005" t="s">
        <v>42</v>
      </c>
      <c r="H1005" t="s">
        <v>13</v>
      </c>
      <c r="I1005" t="s">
        <v>14</v>
      </c>
      <c r="J1005" t="s">
        <v>20</v>
      </c>
      <c r="K1005">
        <v>5032</v>
      </c>
      <c r="L1005">
        <v>15</v>
      </c>
      <c r="M1005">
        <v>75480</v>
      </c>
      <c r="N1005" t="s">
        <v>18</v>
      </c>
    </row>
    <row r="1006" spans="5:14" x14ac:dyDescent="0.35">
      <c r="E1006" t="s">
        <v>57</v>
      </c>
      <c r="F1006" t="s">
        <v>45</v>
      </c>
      <c r="G1006" t="s">
        <v>42</v>
      </c>
      <c r="H1006" t="s">
        <v>22</v>
      </c>
      <c r="I1006" t="s">
        <v>23</v>
      </c>
      <c r="J1006" t="s">
        <v>24</v>
      </c>
      <c r="K1006">
        <v>13904</v>
      </c>
      <c r="L1006">
        <v>2</v>
      </c>
      <c r="M1006">
        <v>27808</v>
      </c>
      <c r="N1006" t="s">
        <v>21</v>
      </c>
    </row>
    <row r="1007" spans="5:14" x14ac:dyDescent="0.35">
      <c r="E1007" t="s">
        <v>57</v>
      </c>
      <c r="F1007" t="s">
        <v>45</v>
      </c>
      <c r="G1007" t="s">
        <v>42</v>
      </c>
      <c r="H1007" t="s">
        <v>22</v>
      </c>
      <c r="I1007" t="s">
        <v>23</v>
      </c>
      <c r="J1007" t="s">
        <v>25</v>
      </c>
      <c r="K1007">
        <v>12252</v>
      </c>
      <c r="L1007">
        <v>2</v>
      </c>
      <c r="M1007">
        <v>24504</v>
      </c>
      <c r="N1007" t="s">
        <v>16</v>
      </c>
    </row>
    <row r="1008" spans="5:14" x14ac:dyDescent="0.35">
      <c r="E1008" t="s">
        <v>57</v>
      </c>
      <c r="F1008" t="s">
        <v>45</v>
      </c>
      <c r="G1008" t="s">
        <v>42</v>
      </c>
      <c r="H1008" t="s">
        <v>22</v>
      </c>
      <c r="I1008" t="s">
        <v>23</v>
      </c>
      <c r="J1008" t="s">
        <v>26</v>
      </c>
      <c r="K1008">
        <v>6949</v>
      </c>
      <c r="L1008">
        <v>5</v>
      </c>
      <c r="M1008">
        <v>34745</v>
      </c>
      <c r="N1008" t="s">
        <v>16</v>
      </c>
    </row>
    <row r="1009" spans="5:14" x14ac:dyDescent="0.35">
      <c r="E1009" t="s">
        <v>57</v>
      </c>
      <c r="F1009" t="s">
        <v>45</v>
      </c>
      <c r="G1009" t="s">
        <v>42</v>
      </c>
      <c r="H1009" t="s">
        <v>22</v>
      </c>
      <c r="I1009" t="s">
        <v>27</v>
      </c>
      <c r="J1009" t="s">
        <v>28</v>
      </c>
      <c r="K1009">
        <v>12043</v>
      </c>
      <c r="L1009">
        <v>3</v>
      </c>
      <c r="M1009">
        <v>36129</v>
      </c>
      <c r="N1009" t="s">
        <v>16</v>
      </c>
    </row>
    <row r="1010" spans="5:14" x14ac:dyDescent="0.35">
      <c r="E1010" t="s">
        <v>57</v>
      </c>
      <c r="F1010" t="s">
        <v>46</v>
      </c>
      <c r="G1010" t="s">
        <v>42</v>
      </c>
      <c r="H1010" t="s">
        <v>13</v>
      </c>
      <c r="I1010" t="s">
        <v>14</v>
      </c>
      <c r="J1010" t="s">
        <v>15</v>
      </c>
      <c r="K1010">
        <v>9109</v>
      </c>
      <c r="L1010">
        <v>10</v>
      </c>
      <c r="M1010">
        <v>91090</v>
      </c>
      <c r="N1010" t="s">
        <v>18</v>
      </c>
    </row>
    <row r="1011" spans="5:14" x14ac:dyDescent="0.35">
      <c r="E1011" t="s">
        <v>57</v>
      </c>
      <c r="F1011" t="s">
        <v>46</v>
      </c>
      <c r="G1011" t="s">
        <v>42</v>
      </c>
      <c r="H1011" t="s">
        <v>13</v>
      </c>
      <c r="I1011" t="s">
        <v>14</v>
      </c>
      <c r="J1011" t="s">
        <v>17</v>
      </c>
      <c r="K1011">
        <v>14548</v>
      </c>
      <c r="L1011">
        <v>20</v>
      </c>
      <c r="M1011">
        <v>290960</v>
      </c>
      <c r="N1011" t="s">
        <v>21</v>
      </c>
    </row>
    <row r="1012" spans="5:14" x14ac:dyDescent="0.35">
      <c r="E1012" t="s">
        <v>57</v>
      </c>
      <c r="F1012" t="s">
        <v>46</v>
      </c>
      <c r="G1012" t="s">
        <v>42</v>
      </c>
      <c r="H1012" t="s">
        <v>13</v>
      </c>
      <c r="I1012" t="s">
        <v>14</v>
      </c>
      <c r="J1012" t="s">
        <v>19</v>
      </c>
      <c r="K1012">
        <v>9472</v>
      </c>
      <c r="L1012">
        <v>30</v>
      </c>
      <c r="M1012">
        <v>284160</v>
      </c>
      <c r="N1012" t="s">
        <v>21</v>
      </c>
    </row>
    <row r="1013" spans="5:14" x14ac:dyDescent="0.35">
      <c r="E1013" t="s">
        <v>57</v>
      </c>
      <c r="F1013" t="s">
        <v>46</v>
      </c>
      <c r="G1013" t="s">
        <v>42</v>
      </c>
      <c r="H1013" t="s">
        <v>13</v>
      </c>
      <c r="I1013" t="s">
        <v>14</v>
      </c>
      <c r="J1013" t="s">
        <v>20</v>
      </c>
      <c r="K1013">
        <v>13750</v>
      </c>
      <c r="L1013">
        <v>15</v>
      </c>
      <c r="M1013">
        <v>206250</v>
      </c>
      <c r="N1013" t="s">
        <v>21</v>
      </c>
    </row>
    <row r="1014" spans="5:14" x14ac:dyDescent="0.35">
      <c r="E1014" t="s">
        <v>57</v>
      </c>
      <c r="F1014" t="s">
        <v>46</v>
      </c>
      <c r="G1014" t="s">
        <v>42</v>
      </c>
      <c r="H1014" t="s">
        <v>22</v>
      </c>
      <c r="I1014" t="s">
        <v>23</v>
      </c>
      <c r="J1014" t="s">
        <v>24</v>
      </c>
      <c r="K1014">
        <v>12508</v>
      </c>
      <c r="L1014">
        <v>2</v>
      </c>
      <c r="M1014">
        <v>25016</v>
      </c>
      <c r="N1014" t="s">
        <v>16</v>
      </c>
    </row>
    <row r="1015" spans="5:14" x14ac:dyDescent="0.35">
      <c r="E1015" t="s">
        <v>57</v>
      </c>
      <c r="F1015" t="s">
        <v>46</v>
      </c>
      <c r="G1015" t="s">
        <v>42</v>
      </c>
      <c r="H1015" t="s">
        <v>22</v>
      </c>
      <c r="I1015" t="s">
        <v>23</v>
      </c>
      <c r="J1015" t="s">
        <v>25</v>
      </c>
      <c r="K1015">
        <v>13428</v>
      </c>
      <c r="L1015">
        <v>2</v>
      </c>
      <c r="M1015">
        <v>26856</v>
      </c>
      <c r="N1015" t="s">
        <v>18</v>
      </c>
    </row>
    <row r="1016" spans="5:14" x14ac:dyDescent="0.35">
      <c r="E1016" t="s">
        <v>57</v>
      </c>
      <c r="F1016" t="s">
        <v>46</v>
      </c>
      <c r="G1016" t="s">
        <v>42</v>
      </c>
      <c r="H1016" t="s">
        <v>22</v>
      </c>
      <c r="I1016" t="s">
        <v>23</v>
      </c>
      <c r="J1016" t="s">
        <v>26</v>
      </c>
      <c r="K1016">
        <v>13253</v>
      </c>
      <c r="L1016">
        <v>5</v>
      </c>
      <c r="M1016">
        <v>66265</v>
      </c>
      <c r="N1016" t="s">
        <v>18</v>
      </c>
    </row>
    <row r="1017" spans="5:14" x14ac:dyDescent="0.35">
      <c r="E1017" t="s">
        <v>57</v>
      </c>
      <c r="F1017" t="s">
        <v>46</v>
      </c>
      <c r="G1017" t="s">
        <v>42</v>
      </c>
      <c r="H1017" t="s">
        <v>22</v>
      </c>
      <c r="I1017" t="s">
        <v>27</v>
      </c>
      <c r="J1017" t="s">
        <v>28</v>
      </c>
      <c r="K1017">
        <v>13304</v>
      </c>
      <c r="L1017">
        <v>3</v>
      </c>
      <c r="M1017">
        <v>39912</v>
      </c>
      <c r="N1017" t="s">
        <v>18</v>
      </c>
    </row>
    <row r="1018" spans="5:14" x14ac:dyDescent="0.35">
      <c r="E1018" t="s">
        <v>57</v>
      </c>
      <c r="F1018" t="s">
        <v>47</v>
      </c>
      <c r="G1018" t="s">
        <v>48</v>
      </c>
      <c r="H1018" t="s">
        <v>13</v>
      </c>
      <c r="I1018" t="s">
        <v>14</v>
      </c>
      <c r="J1018" t="s">
        <v>15</v>
      </c>
      <c r="K1018">
        <v>14859</v>
      </c>
      <c r="L1018">
        <v>10</v>
      </c>
      <c r="M1018">
        <v>148590</v>
      </c>
      <c r="N1018" t="s">
        <v>16</v>
      </c>
    </row>
    <row r="1019" spans="5:14" x14ac:dyDescent="0.35">
      <c r="E1019" t="s">
        <v>57</v>
      </c>
      <c r="F1019" t="s">
        <v>47</v>
      </c>
      <c r="G1019" t="s">
        <v>48</v>
      </c>
      <c r="H1019" t="s">
        <v>13</v>
      </c>
      <c r="I1019" t="s">
        <v>14</v>
      </c>
      <c r="J1019" t="s">
        <v>17</v>
      </c>
      <c r="K1019">
        <v>9212</v>
      </c>
      <c r="L1019">
        <v>20</v>
      </c>
      <c r="M1019">
        <v>184240</v>
      </c>
      <c r="N1019" t="s">
        <v>21</v>
      </c>
    </row>
    <row r="1020" spans="5:14" x14ac:dyDescent="0.35">
      <c r="E1020" t="s">
        <v>57</v>
      </c>
      <c r="F1020" t="s">
        <v>47</v>
      </c>
      <c r="G1020" t="s">
        <v>48</v>
      </c>
      <c r="H1020" t="s">
        <v>13</v>
      </c>
      <c r="I1020" t="s">
        <v>14</v>
      </c>
      <c r="J1020" t="s">
        <v>19</v>
      </c>
      <c r="K1020">
        <v>12553</v>
      </c>
      <c r="L1020">
        <v>30</v>
      </c>
      <c r="M1020">
        <v>376590</v>
      </c>
      <c r="N1020" t="s">
        <v>21</v>
      </c>
    </row>
    <row r="1021" spans="5:14" x14ac:dyDescent="0.35">
      <c r="E1021" t="s">
        <v>57</v>
      </c>
      <c r="F1021" t="s">
        <v>47</v>
      </c>
      <c r="G1021" t="s">
        <v>48</v>
      </c>
      <c r="H1021" t="s">
        <v>13</v>
      </c>
      <c r="I1021" t="s">
        <v>14</v>
      </c>
      <c r="J1021" t="s">
        <v>20</v>
      </c>
      <c r="K1021">
        <v>12123</v>
      </c>
      <c r="L1021">
        <v>15</v>
      </c>
      <c r="M1021">
        <v>181845</v>
      </c>
      <c r="N1021" t="s">
        <v>21</v>
      </c>
    </row>
    <row r="1022" spans="5:14" x14ac:dyDescent="0.35">
      <c r="E1022" t="s">
        <v>57</v>
      </c>
      <c r="F1022" t="s">
        <v>47</v>
      </c>
      <c r="G1022" t="s">
        <v>48</v>
      </c>
      <c r="H1022" t="s">
        <v>22</v>
      </c>
      <c r="I1022" t="s">
        <v>23</v>
      </c>
      <c r="J1022" t="s">
        <v>24</v>
      </c>
      <c r="K1022">
        <v>7613</v>
      </c>
      <c r="L1022">
        <v>2</v>
      </c>
      <c r="M1022">
        <v>15226</v>
      </c>
      <c r="N1022" t="s">
        <v>16</v>
      </c>
    </row>
    <row r="1023" spans="5:14" x14ac:dyDescent="0.35">
      <c r="E1023" t="s">
        <v>57</v>
      </c>
      <c r="F1023" t="s">
        <v>47</v>
      </c>
      <c r="G1023" t="s">
        <v>48</v>
      </c>
      <c r="H1023" t="s">
        <v>22</v>
      </c>
      <c r="I1023" t="s">
        <v>23</v>
      </c>
      <c r="J1023" t="s">
        <v>25</v>
      </c>
      <c r="K1023">
        <v>17048</v>
      </c>
      <c r="L1023">
        <v>2</v>
      </c>
      <c r="M1023">
        <v>34096</v>
      </c>
      <c r="N1023" t="s">
        <v>18</v>
      </c>
    </row>
    <row r="1024" spans="5:14" x14ac:dyDescent="0.35">
      <c r="E1024" t="s">
        <v>57</v>
      </c>
      <c r="F1024" t="s">
        <v>47</v>
      </c>
      <c r="G1024" t="s">
        <v>48</v>
      </c>
      <c r="H1024" t="s">
        <v>22</v>
      </c>
      <c r="I1024" t="s">
        <v>23</v>
      </c>
      <c r="J1024" t="s">
        <v>26</v>
      </c>
      <c r="K1024">
        <v>10213</v>
      </c>
      <c r="L1024">
        <v>5</v>
      </c>
      <c r="M1024">
        <v>51065</v>
      </c>
      <c r="N1024" t="s">
        <v>16</v>
      </c>
    </row>
    <row r="1025" spans="5:14" x14ac:dyDescent="0.35">
      <c r="E1025" t="s">
        <v>57</v>
      </c>
      <c r="F1025" t="s">
        <v>47</v>
      </c>
      <c r="G1025" t="s">
        <v>48</v>
      </c>
      <c r="H1025" t="s">
        <v>22</v>
      </c>
      <c r="I1025" t="s">
        <v>27</v>
      </c>
      <c r="J1025" t="s">
        <v>28</v>
      </c>
      <c r="K1025">
        <v>13448</v>
      </c>
      <c r="L1025">
        <v>3</v>
      </c>
      <c r="M1025">
        <v>40344</v>
      </c>
      <c r="N1025" t="s">
        <v>21</v>
      </c>
    </row>
    <row r="1026" spans="5:14" x14ac:dyDescent="0.35">
      <c r="E1026" t="s">
        <v>57</v>
      </c>
      <c r="F1026" t="s">
        <v>49</v>
      </c>
      <c r="G1026" t="s">
        <v>48</v>
      </c>
      <c r="H1026" t="s">
        <v>13</v>
      </c>
      <c r="I1026" t="s">
        <v>14</v>
      </c>
      <c r="J1026" t="s">
        <v>15</v>
      </c>
      <c r="K1026">
        <v>8963</v>
      </c>
      <c r="L1026">
        <v>10</v>
      </c>
      <c r="M1026">
        <v>89630</v>
      </c>
      <c r="N1026" t="s">
        <v>16</v>
      </c>
    </row>
    <row r="1027" spans="5:14" x14ac:dyDescent="0.35">
      <c r="E1027" t="s">
        <v>57</v>
      </c>
      <c r="F1027" t="s">
        <v>49</v>
      </c>
      <c r="G1027" t="s">
        <v>48</v>
      </c>
      <c r="H1027" t="s">
        <v>13</v>
      </c>
      <c r="I1027" t="s">
        <v>14</v>
      </c>
      <c r="J1027" t="s">
        <v>17</v>
      </c>
      <c r="K1027">
        <v>10063</v>
      </c>
      <c r="L1027">
        <v>20</v>
      </c>
      <c r="M1027">
        <v>201260</v>
      </c>
      <c r="N1027" t="s">
        <v>16</v>
      </c>
    </row>
    <row r="1028" spans="5:14" x14ac:dyDescent="0.35">
      <c r="E1028" t="s">
        <v>57</v>
      </c>
      <c r="F1028" t="s">
        <v>49</v>
      </c>
      <c r="G1028" t="s">
        <v>48</v>
      </c>
      <c r="H1028" t="s">
        <v>13</v>
      </c>
      <c r="I1028" t="s">
        <v>14</v>
      </c>
      <c r="J1028" t="s">
        <v>19</v>
      </c>
      <c r="K1028">
        <v>5336</v>
      </c>
      <c r="L1028">
        <v>30</v>
      </c>
      <c r="M1028">
        <v>160080</v>
      </c>
      <c r="N1028" t="s">
        <v>16</v>
      </c>
    </row>
    <row r="1029" spans="5:14" x14ac:dyDescent="0.35">
      <c r="E1029" t="s">
        <v>57</v>
      </c>
      <c r="F1029" t="s">
        <v>49</v>
      </c>
      <c r="G1029" t="s">
        <v>48</v>
      </c>
      <c r="H1029" t="s">
        <v>13</v>
      </c>
      <c r="I1029" t="s">
        <v>14</v>
      </c>
      <c r="J1029" t="s">
        <v>20</v>
      </c>
      <c r="K1029">
        <v>10492</v>
      </c>
      <c r="L1029">
        <v>15</v>
      </c>
      <c r="M1029">
        <v>157380</v>
      </c>
      <c r="N1029" t="s">
        <v>16</v>
      </c>
    </row>
    <row r="1030" spans="5:14" x14ac:dyDescent="0.35">
      <c r="E1030" t="s">
        <v>57</v>
      </c>
      <c r="F1030" t="s">
        <v>49</v>
      </c>
      <c r="G1030" t="s">
        <v>48</v>
      </c>
      <c r="H1030" t="s">
        <v>22</v>
      </c>
      <c r="I1030" t="s">
        <v>23</v>
      </c>
      <c r="J1030" t="s">
        <v>24</v>
      </c>
      <c r="K1030">
        <v>10431</v>
      </c>
      <c r="L1030">
        <v>2</v>
      </c>
      <c r="M1030">
        <v>20862</v>
      </c>
      <c r="N1030" t="s">
        <v>16</v>
      </c>
    </row>
    <row r="1031" spans="5:14" x14ac:dyDescent="0.35">
      <c r="E1031" t="s">
        <v>57</v>
      </c>
      <c r="F1031" t="s">
        <v>49</v>
      </c>
      <c r="G1031" t="s">
        <v>48</v>
      </c>
      <c r="H1031" t="s">
        <v>22</v>
      </c>
      <c r="I1031" t="s">
        <v>23</v>
      </c>
      <c r="J1031" t="s">
        <v>25</v>
      </c>
      <c r="K1031">
        <v>17286</v>
      </c>
      <c r="L1031">
        <v>2</v>
      </c>
      <c r="M1031">
        <v>34572</v>
      </c>
      <c r="N1031" t="s">
        <v>18</v>
      </c>
    </row>
    <row r="1032" spans="5:14" x14ac:dyDescent="0.35">
      <c r="E1032" t="s">
        <v>57</v>
      </c>
      <c r="F1032" t="s">
        <v>49</v>
      </c>
      <c r="G1032" t="s">
        <v>48</v>
      </c>
      <c r="H1032" t="s">
        <v>22</v>
      </c>
      <c r="I1032" t="s">
        <v>23</v>
      </c>
      <c r="J1032" t="s">
        <v>26</v>
      </c>
      <c r="K1032">
        <v>9834</v>
      </c>
      <c r="L1032">
        <v>5</v>
      </c>
      <c r="M1032">
        <v>49170</v>
      </c>
      <c r="N1032" t="s">
        <v>16</v>
      </c>
    </row>
    <row r="1033" spans="5:14" x14ac:dyDescent="0.35">
      <c r="E1033" t="s">
        <v>57</v>
      </c>
      <c r="F1033" t="s">
        <v>49</v>
      </c>
      <c r="G1033" t="s">
        <v>48</v>
      </c>
      <c r="H1033" t="s">
        <v>22</v>
      </c>
      <c r="I1033" t="s">
        <v>27</v>
      </c>
      <c r="J1033" t="s">
        <v>28</v>
      </c>
      <c r="K1033">
        <v>14837</v>
      </c>
      <c r="L1033">
        <v>3</v>
      </c>
      <c r="M1033">
        <v>44511</v>
      </c>
      <c r="N1033" t="s">
        <v>16</v>
      </c>
    </row>
    <row r="1034" spans="5:14" x14ac:dyDescent="0.35">
      <c r="E1034" t="s">
        <v>57</v>
      </c>
      <c r="F1034" t="s">
        <v>50</v>
      </c>
      <c r="G1034" t="s">
        <v>48</v>
      </c>
      <c r="H1034" t="s">
        <v>13</v>
      </c>
      <c r="I1034" t="s">
        <v>14</v>
      </c>
      <c r="J1034" t="s">
        <v>15</v>
      </c>
      <c r="K1034">
        <v>8231</v>
      </c>
      <c r="L1034">
        <v>10</v>
      </c>
      <c r="M1034">
        <v>82310</v>
      </c>
      <c r="N1034" t="s">
        <v>21</v>
      </c>
    </row>
    <row r="1035" spans="5:14" x14ac:dyDescent="0.35">
      <c r="E1035" t="s">
        <v>57</v>
      </c>
      <c r="F1035" t="s">
        <v>50</v>
      </c>
      <c r="G1035" t="s">
        <v>48</v>
      </c>
      <c r="H1035" t="s">
        <v>13</v>
      </c>
      <c r="I1035" t="s">
        <v>14</v>
      </c>
      <c r="J1035" t="s">
        <v>17</v>
      </c>
      <c r="K1035">
        <v>12979</v>
      </c>
      <c r="L1035">
        <v>20</v>
      </c>
      <c r="M1035">
        <v>259580</v>
      </c>
      <c r="N1035" t="s">
        <v>21</v>
      </c>
    </row>
    <row r="1036" spans="5:14" x14ac:dyDescent="0.35">
      <c r="E1036" t="s">
        <v>57</v>
      </c>
      <c r="F1036" t="s">
        <v>50</v>
      </c>
      <c r="G1036" t="s">
        <v>48</v>
      </c>
      <c r="H1036" t="s">
        <v>13</v>
      </c>
      <c r="I1036" t="s">
        <v>14</v>
      </c>
      <c r="J1036" t="s">
        <v>19</v>
      </c>
      <c r="K1036">
        <v>11549</v>
      </c>
      <c r="L1036">
        <v>30</v>
      </c>
      <c r="M1036">
        <v>346470</v>
      </c>
      <c r="N1036" t="s">
        <v>16</v>
      </c>
    </row>
    <row r="1037" spans="5:14" x14ac:dyDescent="0.35">
      <c r="E1037" t="s">
        <v>57</v>
      </c>
      <c r="F1037" t="s">
        <v>50</v>
      </c>
      <c r="G1037" t="s">
        <v>48</v>
      </c>
      <c r="H1037" t="s">
        <v>13</v>
      </c>
      <c r="I1037" t="s">
        <v>14</v>
      </c>
      <c r="J1037" t="s">
        <v>20</v>
      </c>
      <c r="K1037">
        <v>7482</v>
      </c>
      <c r="L1037">
        <v>15</v>
      </c>
      <c r="M1037">
        <v>112230</v>
      </c>
      <c r="N1037" t="s">
        <v>16</v>
      </c>
    </row>
    <row r="1038" spans="5:14" x14ac:dyDescent="0.35">
      <c r="E1038" t="s">
        <v>57</v>
      </c>
      <c r="F1038" t="s">
        <v>50</v>
      </c>
      <c r="G1038" t="s">
        <v>48</v>
      </c>
      <c r="H1038" t="s">
        <v>22</v>
      </c>
      <c r="I1038" t="s">
        <v>23</v>
      </c>
      <c r="J1038" t="s">
        <v>24</v>
      </c>
      <c r="K1038">
        <v>15743</v>
      </c>
      <c r="L1038">
        <v>2</v>
      </c>
      <c r="M1038">
        <v>31486</v>
      </c>
      <c r="N1038" t="s">
        <v>16</v>
      </c>
    </row>
    <row r="1039" spans="5:14" x14ac:dyDescent="0.35">
      <c r="E1039" t="s">
        <v>57</v>
      </c>
      <c r="F1039" t="s">
        <v>50</v>
      </c>
      <c r="G1039" t="s">
        <v>48</v>
      </c>
      <c r="H1039" t="s">
        <v>22</v>
      </c>
      <c r="I1039" t="s">
        <v>23</v>
      </c>
      <c r="J1039" t="s">
        <v>25</v>
      </c>
      <c r="K1039">
        <v>14188</v>
      </c>
      <c r="L1039">
        <v>2</v>
      </c>
      <c r="M1039">
        <v>28376</v>
      </c>
      <c r="N1039" t="s">
        <v>16</v>
      </c>
    </row>
    <row r="1040" spans="5:14" x14ac:dyDescent="0.35">
      <c r="E1040" t="s">
        <v>57</v>
      </c>
      <c r="F1040" t="s">
        <v>50</v>
      </c>
      <c r="G1040" t="s">
        <v>48</v>
      </c>
      <c r="H1040" t="s">
        <v>22</v>
      </c>
      <c r="I1040" t="s">
        <v>23</v>
      </c>
      <c r="J1040" t="s">
        <v>26</v>
      </c>
      <c r="K1040">
        <v>15490</v>
      </c>
      <c r="L1040">
        <v>5</v>
      </c>
      <c r="M1040">
        <v>77450</v>
      </c>
      <c r="N1040" t="s">
        <v>16</v>
      </c>
    </row>
    <row r="1041" spans="5:14" x14ac:dyDescent="0.35">
      <c r="E1041" t="s">
        <v>57</v>
      </c>
      <c r="F1041" t="s">
        <v>50</v>
      </c>
      <c r="G1041" t="s">
        <v>48</v>
      </c>
      <c r="H1041" t="s">
        <v>22</v>
      </c>
      <c r="I1041" t="s">
        <v>27</v>
      </c>
      <c r="J1041" t="s">
        <v>28</v>
      </c>
      <c r="K1041">
        <v>14111</v>
      </c>
      <c r="L1041">
        <v>3</v>
      </c>
      <c r="M1041">
        <v>42333</v>
      </c>
      <c r="N1041" t="s">
        <v>21</v>
      </c>
    </row>
    <row r="1042" spans="5:14" x14ac:dyDescent="0.35">
      <c r="E1042" t="s">
        <v>57</v>
      </c>
      <c r="F1042" t="s">
        <v>51</v>
      </c>
      <c r="G1042" t="s">
        <v>48</v>
      </c>
      <c r="H1042" t="s">
        <v>13</v>
      </c>
      <c r="I1042" t="s">
        <v>14</v>
      </c>
      <c r="J1042" t="s">
        <v>15</v>
      </c>
      <c r="K1042">
        <v>11744</v>
      </c>
      <c r="L1042">
        <v>10</v>
      </c>
      <c r="M1042">
        <v>117440</v>
      </c>
      <c r="N1042" t="s">
        <v>16</v>
      </c>
    </row>
    <row r="1043" spans="5:14" x14ac:dyDescent="0.35">
      <c r="E1043" t="s">
        <v>57</v>
      </c>
      <c r="F1043" t="s">
        <v>51</v>
      </c>
      <c r="G1043" t="s">
        <v>48</v>
      </c>
      <c r="H1043" t="s">
        <v>13</v>
      </c>
      <c r="I1043" t="s">
        <v>14</v>
      </c>
      <c r="J1043" t="s">
        <v>17</v>
      </c>
      <c r="K1043">
        <v>14617</v>
      </c>
      <c r="L1043">
        <v>20</v>
      </c>
      <c r="M1043">
        <v>292340</v>
      </c>
      <c r="N1043" t="s">
        <v>21</v>
      </c>
    </row>
    <row r="1044" spans="5:14" x14ac:dyDescent="0.35">
      <c r="E1044" t="s">
        <v>57</v>
      </c>
      <c r="F1044" t="s">
        <v>51</v>
      </c>
      <c r="G1044" t="s">
        <v>48</v>
      </c>
      <c r="H1044" t="s">
        <v>13</v>
      </c>
      <c r="I1044" t="s">
        <v>14</v>
      </c>
      <c r="J1044" t="s">
        <v>19</v>
      </c>
      <c r="K1044">
        <v>10988</v>
      </c>
      <c r="L1044">
        <v>30</v>
      </c>
      <c r="M1044">
        <v>329640</v>
      </c>
      <c r="N1044" t="s">
        <v>21</v>
      </c>
    </row>
    <row r="1045" spans="5:14" x14ac:dyDescent="0.35">
      <c r="E1045" t="s">
        <v>57</v>
      </c>
      <c r="F1045" t="s">
        <v>51</v>
      </c>
      <c r="G1045" t="s">
        <v>48</v>
      </c>
      <c r="H1045" t="s">
        <v>13</v>
      </c>
      <c r="I1045" t="s">
        <v>14</v>
      </c>
      <c r="J1045" t="s">
        <v>20</v>
      </c>
      <c r="K1045">
        <v>13429</v>
      </c>
      <c r="L1045">
        <v>15</v>
      </c>
      <c r="M1045">
        <v>201435</v>
      </c>
      <c r="N1045" t="s">
        <v>16</v>
      </c>
    </row>
    <row r="1046" spans="5:14" x14ac:dyDescent="0.35">
      <c r="E1046" t="s">
        <v>57</v>
      </c>
      <c r="F1046" t="s">
        <v>51</v>
      </c>
      <c r="G1046" t="s">
        <v>48</v>
      </c>
      <c r="H1046" t="s">
        <v>22</v>
      </c>
      <c r="I1046" t="s">
        <v>23</v>
      </c>
      <c r="J1046" t="s">
        <v>24</v>
      </c>
      <c r="K1046">
        <v>12628</v>
      </c>
      <c r="L1046">
        <v>2</v>
      </c>
      <c r="M1046">
        <v>25256</v>
      </c>
      <c r="N1046" t="s">
        <v>16</v>
      </c>
    </row>
    <row r="1047" spans="5:14" x14ac:dyDescent="0.35">
      <c r="E1047" t="s">
        <v>57</v>
      </c>
      <c r="F1047" t="s">
        <v>51</v>
      </c>
      <c r="G1047" t="s">
        <v>48</v>
      </c>
      <c r="H1047" t="s">
        <v>22</v>
      </c>
      <c r="I1047" t="s">
        <v>23</v>
      </c>
      <c r="J1047" t="s">
        <v>25</v>
      </c>
      <c r="K1047">
        <v>14872</v>
      </c>
      <c r="L1047">
        <v>2</v>
      </c>
      <c r="M1047">
        <v>29744</v>
      </c>
      <c r="N1047" t="s">
        <v>16</v>
      </c>
    </row>
    <row r="1048" spans="5:14" x14ac:dyDescent="0.35">
      <c r="E1048" t="s">
        <v>57</v>
      </c>
      <c r="F1048" t="s">
        <v>51</v>
      </c>
      <c r="G1048" t="s">
        <v>48</v>
      </c>
      <c r="H1048" t="s">
        <v>22</v>
      </c>
      <c r="I1048" t="s">
        <v>23</v>
      </c>
      <c r="J1048" t="s">
        <v>26</v>
      </c>
      <c r="K1048">
        <v>6493</v>
      </c>
      <c r="L1048">
        <v>5</v>
      </c>
      <c r="M1048">
        <v>32465</v>
      </c>
      <c r="N1048" t="s">
        <v>18</v>
      </c>
    </row>
    <row r="1049" spans="5:14" x14ac:dyDescent="0.35">
      <c r="E1049" t="s">
        <v>57</v>
      </c>
      <c r="F1049" t="s">
        <v>51</v>
      </c>
      <c r="G1049" t="s">
        <v>48</v>
      </c>
      <c r="H1049" t="s">
        <v>22</v>
      </c>
      <c r="I1049" t="s">
        <v>27</v>
      </c>
      <c r="J1049" t="s">
        <v>28</v>
      </c>
      <c r="K1049">
        <v>17765</v>
      </c>
      <c r="L1049">
        <v>3</v>
      </c>
      <c r="M1049">
        <v>53295</v>
      </c>
      <c r="N1049" t="s">
        <v>16</v>
      </c>
    </row>
    <row r="1050" spans="5:14" x14ac:dyDescent="0.35">
      <c r="E1050" t="s">
        <v>57</v>
      </c>
      <c r="F1050" t="s">
        <v>52</v>
      </c>
      <c r="G1050" t="s">
        <v>48</v>
      </c>
      <c r="H1050" t="s">
        <v>13</v>
      </c>
      <c r="I1050" t="s">
        <v>14</v>
      </c>
      <c r="J1050" t="s">
        <v>15</v>
      </c>
      <c r="K1050">
        <v>14472</v>
      </c>
      <c r="L1050">
        <v>10</v>
      </c>
      <c r="M1050">
        <v>144720</v>
      </c>
      <c r="N1050" t="s">
        <v>16</v>
      </c>
    </row>
    <row r="1051" spans="5:14" x14ac:dyDescent="0.35">
      <c r="E1051" t="s">
        <v>57</v>
      </c>
      <c r="F1051" t="s">
        <v>52</v>
      </c>
      <c r="G1051" t="s">
        <v>48</v>
      </c>
      <c r="H1051" t="s">
        <v>13</v>
      </c>
      <c r="I1051" t="s">
        <v>14</v>
      </c>
      <c r="J1051" t="s">
        <v>17</v>
      </c>
      <c r="K1051">
        <v>7991</v>
      </c>
      <c r="L1051">
        <v>20</v>
      </c>
      <c r="M1051">
        <v>159820</v>
      </c>
      <c r="N1051" t="s">
        <v>16</v>
      </c>
    </row>
    <row r="1052" spans="5:14" x14ac:dyDescent="0.35">
      <c r="E1052" t="s">
        <v>57</v>
      </c>
      <c r="F1052" t="s">
        <v>52</v>
      </c>
      <c r="G1052" t="s">
        <v>48</v>
      </c>
      <c r="H1052" t="s">
        <v>13</v>
      </c>
      <c r="I1052" t="s">
        <v>14</v>
      </c>
      <c r="J1052" t="s">
        <v>19</v>
      </c>
      <c r="K1052">
        <v>14907</v>
      </c>
      <c r="L1052">
        <v>30</v>
      </c>
      <c r="M1052">
        <v>447210</v>
      </c>
      <c r="N1052" t="s">
        <v>21</v>
      </c>
    </row>
    <row r="1053" spans="5:14" x14ac:dyDescent="0.35">
      <c r="E1053" t="s">
        <v>57</v>
      </c>
      <c r="F1053" t="s">
        <v>52</v>
      </c>
      <c r="G1053" t="s">
        <v>48</v>
      </c>
      <c r="H1053" t="s">
        <v>13</v>
      </c>
      <c r="I1053" t="s">
        <v>14</v>
      </c>
      <c r="J1053" t="s">
        <v>20</v>
      </c>
      <c r="K1053">
        <v>6607</v>
      </c>
      <c r="L1053">
        <v>15</v>
      </c>
      <c r="M1053">
        <v>99105</v>
      </c>
      <c r="N1053" t="s">
        <v>16</v>
      </c>
    </row>
    <row r="1054" spans="5:14" x14ac:dyDescent="0.35">
      <c r="E1054" t="s">
        <v>57</v>
      </c>
      <c r="F1054" t="s">
        <v>52</v>
      </c>
      <c r="G1054" t="s">
        <v>48</v>
      </c>
      <c r="H1054" t="s">
        <v>22</v>
      </c>
      <c r="I1054" t="s">
        <v>23</v>
      </c>
      <c r="J1054" t="s">
        <v>24</v>
      </c>
      <c r="K1054">
        <v>15864</v>
      </c>
      <c r="L1054">
        <v>2</v>
      </c>
      <c r="M1054">
        <v>31728</v>
      </c>
      <c r="N1054" t="s">
        <v>21</v>
      </c>
    </row>
    <row r="1055" spans="5:14" x14ac:dyDescent="0.35">
      <c r="E1055" t="s">
        <v>57</v>
      </c>
      <c r="F1055" t="s">
        <v>52</v>
      </c>
      <c r="G1055" t="s">
        <v>48</v>
      </c>
      <c r="H1055" t="s">
        <v>22</v>
      </c>
      <c r="I1055" t="s">
        <v>23</v>
      </c>
      <c r="J1055" t="s">
        <v>25</v>
      </c>
      <c r="K1055">
        <v>17325</v>
      </c>
      <c r="L1055">
        <v>2</v>
      </c>
      <c r="M1055">
        <v>34650</v>
      </c>
      <c r="N1055" t="s">
        <v>18</v>
      </c>
    </row>
    <row r="1056" spans="5:14" x14ac:dyDescent="0.35">
      <c r="E1056" t="s">
        <v>57</v>
      </c>
      <c r="F1056" t="s">
        <v>52</v>
      </c>
      <c r="G1056" t="s">
        <v>48</v>
      </c>
      <c r="H1056" t="s">
        <v>22</v>
      </c>
      <c r="I1056" t="s">
        <v>23</v>
      </c>
      <c r="J1056" t="s">
        <v>26</v>
      </c>
      <c r="K1056">
        <v>18181</v>
      </c>
      <c r="L1056">
        <v>5</v>
      </c>
      <c r="M1056">
        <v>90905</v>
      </c>
      <c r="N1056" t="s">
        <v>21</v>
      </c>
    </row>
    <row r="1057" spans="5:14" x14ac:dyDescent="0.35">
      <c r="E1057" t="s">
        <v>57</v>
      </c>
      <c r="F1057" t="s">
        <v>52</v>
      </c>
      <c r="G1057" t="s">
        <v>48</v>
      </c>
      <c r="H1057" t="s">
        <v>22</v>
      </c>
      <c r="I1057" t="s">
        <v>27</v>
      </c>
      <c r="J1057" t="s">
        <v>28</v>
      </c>
      <c r="K1057">
        <v>14490</v>
      </c>
      <c r="L1057">
        <v>3</v>
      </c>
      <c r="M1057">
        <v>43470</v>
      </c>
      <c r="N1057" t="s">
        <v>18</v>
      </c>
    </row>
    <row r="1058" spans="5:14" x14ac:dyDescent="0.35">
      <c r="E1058" t="s">
        <v>58</v>
      </c>
      <c r="F1058" t="s">
        <v>11</v>
      </c>
      <c r="G1058" t="s">
        <v>12</v>
      </c>
      <c r="H1058" t="s">
        <v>13</v>
      </c>
      <c r="I1058" t="s">
        <v>14</v>
      </c>
      <c r="J1058" t="s">
        <v>15</v>
      </c>
      <c r="K1058">
        <v>11773</v>
      </c>
      <c r="L1058">
        <v>10</v>
      </c>
      <c r="M1058">
        <v>117730</v>
      </c>
      <c r="N1058" t="s">
        <v>18</v>
      </c>
    </row>
    <row r="1059" spans="5:14" x14ac:dyDescent="0.35">
      <c r="E1059" t="s">
        <v>58</v>
      </c>
      <c r="F1059" t="s">
        <v>11</v>
      </c>
      <c r="G1059" t="s">
        <v>12</v>
      </c>
      <c r="H1059" t="s">
        <v>13</v>
      </c>
      <c r="I1059" t="s">
        <v>14</v>
      </c>
      <c r="J1059" t="s">
        <v>17</v>
      </c>
      <c r="K1059">
        <v>10236</v>
      </c>
      <c r="L1059">
        <v>20</v>
      </c>
      <c r="M1059">
        <v>204720</v>
      </c>
      <c r="N1059" t="s">
        <v>18</v>
      </c>
    </row>
    <row r="1060" spans="5:14" x14ac:dyDescent="0.35">
      <c r="E1060" t="s">
        <v>58</v>
      </c>
      <c r="F1060" t="s">
        <v>11</v>
      </c>
      <c r="G1060" t="s">
        <v>12</v>
      </c>
      <c r="H1060" t="s">
        <v>13</v>
      </c>
      <c r="I1060" t="s">
        <v>14</v>
      </c>
      <c r="J1060" t="s">
        <v>19</v>
      </c>
      <c r="K1060">
        <v>13074</v>
      </c>
      <c r="L1060">
        <v>30</v>
      </c>
      <c r="M1060">
        <v>392220</v>
      </c>
      <c r="N1060" t="s">
        <v>21</v>
      </c>
    </row>
    <row r="1061" spans="5:14" x14ac:dyDescent="0.35">
      <c r="E1061" t="s">
        <v>58</v>
      </c>
      <c r="F1061" t="s">
        <v>11</v>
      </c>
      <c r="G1061" t="s">
        <v>12</v>
      </c>
      <c r="H1061" t="s">
        <v>13</v>
      </c>
      <c r="I1061" t="s">
        <v>14</v>
      </c>
      <c r="J1061" t="s">
        <v>20</v>
      </c>
      <c r="K1061">
        <v>9580</v>
      </c>
      <c r="L1061">
        <v>15</v>
      </c>
      <c r="M1061">
        <v>143700</v>
      </c>
      <c r="N1061" t="s">
        <v>16</v>
      </c>
    </row>
    <row r="1062" spans="5:14" x14ac:dyDescent="0.35">
      <c r="E1062" t="s">
        <v>58</v>
      </c>
      <c r="F1062" t="s">
        <v>11</v>
      </c>
      <c r="G1062" t="s">
        <v>12</v>
      </c>
      <c r="H1062" t="s">
        <v>22</v>
      </c>
      <c r="I1062" t="s">
        <v>23</v>
      </c>
      <c r="J1062" t="s">
        <v>24</v>
      </c>
      <c r="K1062">
        <v>9041</v>
      </c>
      <c r="L1062">
        <v>2</v>
      </c>
      <c r="M1062">
        <v>18082</v>
      </c>
      <c r="N1062" t="s">
        <v>16</v>
      </c>
    </row>
    <row r="1063" spans="5:14" x14ac:dyDescent="0.35">
      <c r="E1063" t="s">
        <v>58</v>
      </c>
      <c r="F1063" t="s">
        <v>11</v>
      </c>
      <c r="G1063" t="s">
        <v>12</v>
      </c>
      <c r="H1063" t="s">
        <v>22</v>
      </c>
      <c r="I1063" t="s">
        <v>23</v>
      </c>
      <c r="J1063" t="s">
        <v>25</v>
      </c>
      <c r="K1063">
        <v>9736</v>
      </c>
      <c r="L1063">
        <v>2</v>
      </c>
      <c r="M1063">
        <v>19472</v>
      </c>
      <c r="N1063" t="s">
        <v>21</v>
      </c>
    </row>
    <row r="1064" spans="5:14" x14ac:dyDescent="0.35">
      <c r="E1064" t="s">
        <v>58</v>
      </c>
      <c r="F1064" t="s">
        <v>11</v>
      </c>
      <c r="G1064" t="s">
        <v>12</v>
      </c>
      <c r="H1064" t="s">
        <v>22</v>
      </c>
      <c r="I1064" t="s">
        <v>23</v>
      </c>
      <c r="J1064" t="s">
        <v>26</v>
      </c>
      <c r="K1064">
        <v>14691</v>
      </c>
      <c r="L1064">
        <v>5</v>
      </c>
      <c r="M1064">
        <v>73455</v>
      </c>
      <c r="N1064" t="s">
        <v>21</v>
      </c>
    </row>
    <row r="1065" spans="5:14" x14ac:dyDescent="0.35">
      <c r="E1065" t="s">
        <v>58</v>
      </c>
      <c r="F1065" t="s">
        <v>11</v>
      </c>
      <c r="G1065" t="s">
        <v>12</v>
      </c>
      <c r="H1065" t="s">
        <v>22</v>
      </c>
      <c r="I1065" t="s">
        <v>27</v>
      </c>
      <c r="J1065" t="s">
        <v>28</v>
      </c>
      <c r="K1065">
        <v>9907</v>
      </c>
      <c r="L1065">
        <v>3</v>
      </c>
      <c r="M1065">
        <v>29721</v>
      </c>
      <c r="N1065" t="s">
        <v>21</v>
      </c>
    </row>
    <row r="1066" spans="5:14" x14ac:dyDescent="0.35">
      <c r="E1066" t="s">
        <v>58</v>
      </c>
      <c r="F1066" t="s">
        <v>29</v>
      </c>
      <c r="G1066" t="s">
        <v>12</v>
      </c>
      <c r="H1066" t="s">
        <v>13</v>
      </c>
      <c r="I1066" t="s">
        <v>14</v>
      </c>
      <c r="J1066" t="s">
        <v>15</v>
      </c>
      <c r="K1066">
        <v>12133</v>
      </c>
      <c r="L1066">
        <v>10</v>
      </c>
      <c r="M1066">
        <v>121330</v>
      </c>
      <c r="N1066" t="s">
        <v>18</v>
      </c>
    </row>
    <row r="1067" spans="5:14" x14ac:dyDescent="0.35">
      <c r="E1067" t="s">
        <v>58</v>
      </c>
      <c r="F1067" t="s">
        <v>29</v>
      </c>
      <c r="G1067" t="s">
        <v>12</v>
      </c>
      <c r="H1067" t="s">
        <v>13</v>
      </c>
      <c r="I1067" t="s">
        <v>14</v>
      </c>
      <c r="J1067" t="s">
        <v>17</v>
      </c>
      <c r="K1067">
        <v>10040</v>
      </c>
      <c r="L1067">
        <v>20</v>
      </c>
      <c r="M1067">
        <v>200800</v>
      </c>
      <c r="N1067" t="s">
        <v>16</v>
      </c>
    </row>
    <row r="1068" spans="5:14" x14ac:dyDescent="0.35">
      <c r="E1068" t="s">
        <v>58</v>
      </c>
      <c r="F1068" t="s">
        <v>29</v>
      </c>
      <c r="G1068" t="s">
        <v>12</v>
      </c>
      <c r="H1068" t="s">
        <v>13</v>
      </c>
      <c r="I1068" t="s">
        <v>14</v>
      </c>
      <c r="J1068" t="s">
        <v>19</v>
      </c>
      <c r="K1068">
        <v>11865</v>
      </c>
      <c r="L1068">
        <v>30</v>
      </c>
      <c r="M1068">
        <v>355950</v>
      </c>
      <c r="N1068" t="s">
        <v>21</v>
      </c>
    </row>
    <row r="1069" spans="5:14" x14ac:dyDescent="0.35">
      <c r="E1069" t="s">
        <v>58</v>
      </c>
      <c r="F1069" t="s">
        <v>29</v>
      </c>
      <c r="G1069" t="s">
        <v>12</v>
      </c>
      <c r="H1069" t="s">
        <v>13</v>
      </c>
      <c r="I1069" t="s">
        <v>14</v>
      </c>
      <c r="J1069" t="s">
        <v>20</v>
      </c>
      <c r="K1069">
        <v>6976</v>
      </c>
      <c r="L1069">
        <v>15</v>
      </c>
      <c r="M1069">
        <v>104640</v>
      </c>
      <c r="N1069" t="s">
        <v>16</v>
      </c>
    </row>
    <row r="1070" spans="5:14" x14ac:dyDescent="0.35">
      <c r="E1070" t="s">
        <v>58</v>
      </c>
      <c r="F1070" t="s">
        <v>29</v>
      </c>
      <c r="G1070" t="s">
        <v>12</v>
      </c>
      <c r="H1070" t="s">
        <v>22</v>
      </c>
      <c r="I1070" t="s">
        <v>23</v>
      </c>
      <c r="J1070" t="s">
        <v>24</v>
      </c>
      <c r="K1070">
        <v>5925</v>
      </c>
      <c r="L1070">
        <v>2</v>
      </c>
      <c r="M1070">
        <v>11850</v>
      </c>
      <c r="N1070" t="s">
        <v>18</v>
      </c>
    </row>
    <row r="1071" spans="5:14" x14ac:dyDescent="0.35">
      <c r="E1071" t="s">
        <v>58</v>
      </c>
      <c r="F1071" t="s">
        <v>29</v>
      </c>
      <c r="G1071" t="s">
        <v>12</v>
      </c>
      <c r="H1071" t="s">
        <v>22</v>
      </c>
      <c r="I1071" t="s">
        <v>23</v>
      </c>
      <c r="J1071" t="s">
        <v>25</v>
      </c>
      <c r="K1071">
        <v>8877</v>
      </c>
      <c r="L1071">
        <v>2</v>
      </c>
      <c r="M1071">
        <v>17754</v>
      </c>
      <c r="N1071" t="s">
        <v>21</v>
      </c>
    </row>
    <row r="1072" spans="5:14" x14ac:dyDescent="0.35">
      <c r="E1072" t="s">
        <v>58</v>
      </c>
      <c r="F1072" t="s">
        <v>29</v>
      </c>
      <c r="G1072" t="s">
        <v>12</v>
      </c>
      <c r="H1072" t="s">
        <v>22</v>
      </c>
      <c r="I1072" t="s">
        <v>23</v>
      </c>
      <c r="J1072" t="s">
        <v>26</v>
      </c>
      <c r="K1072">
        <v>6184</v>
      </c>
      <c r="L1072">
        <v>5</v>
      </c>
      <c r="M1072">
        <v>30920</v>
      </c>
      <c r="N1072" t="s">
        <v>21</v>
      </c>
    </row>
    <row r="1073" spans="5:14" x14ac:dyDescent="0.35">
      <c r="E1073" t="s">
        <v>58</v>
      </c>
      <c r="F1073" t="s">
        <v>29</v>
      </c>
      <c r="G1073" t="s">
        <v>12</v>
      </c>
      <c r="H1073" t="s">
        <v>22</v>
      </c>
      <c r="I1073" t="s">
        <v>27</v>
      </c>
      <c r="J1073" t="s">
        <v>28</v>
      </c>
      <c r="K1073">
        <v>9150</v>
      </c>
      <c r="L1073">
        <v>3</v>
      </c>
      <c r="M1073">
        <v>27450</v>
      </c>
      <c r="N1073" t="s">
        <v>18</v>
      </c>
    </row>
    <row r="1074" spans="5:14" x14ac:dyDescent="0.35">
      <c r="E1074" t="s">
        <v>58</v>
      </c>
      <c r="F1074" t="s">
        <v>30</v>
      </c>
      <c r="G1074" t="s">
        <v>12</v>
      </c>
      <c r="H1074" t="s">
        <v>13</v>
      </c>
      <c r="I1074" t="s">
        <v>14</v>
      </c>
      <c r="J1074" t="s">
        <v>15</v>
      </c>
      <c r="K1074">
        <v>13274</v>
      </c>
      <c r="L1074">
        <v>10</v>
      </c>
      <c r="M1074">
        <v>132740</v>
      </c>
      <c r="N1074" t="s">
        <v>18</v>
      </c>
    </row>
    <row r="1075" spans="5:14" x14ac:dyDescent="0.35">
      <c r="E1075" t="s">
        <v>58</v>
      </c>
      <c r="F1075" t="s">
        <v>30</v>
      </c>
      <c r="G1075" t="s">
        <v>12</v>
      </c>
      <c r="H1075" t="s">
        <v>13</v>
      </c>
      <c r="I1075" t="s">
        <v>14</v>
      </c>
      <c r="J1075" t="s">
        <v>17</v>
      </c>
      <c r="K1075">
        <v>14368</v>
      </c>
      <c r="L1075">
        <v>20</v>
      </c>
      <c r="M1075">
        <v>287360</v>
      </c>
      <c r="N1075" t="s">
        <v>18</v>
      </c>
    </row>
    <row r="1076" spans="5:14" x14ac:dyDescent="0.35">
      <c r="E1076" t="s">
        <v>58</v>
      </c>
      <c r="F1076" t="s">
        <v>30</v>
      </c>
      <c r="G1076" t="s">
        <v>12</v>
      </c>
      <c r="H1076" t="s">
        <v>13</v>
      </c>
      <c r="I1076" t="s">
        <v>14</v>
      </c>
      <c r="J1076" t="s">
        <v>19</v>
      </c>
      <c r="K1076">
        <v>12909</v>
      </c>
      <c r="L1076">
        <v>30</v>
      </c>
      <c r="M1076">
        <v>387270</v>
      </c>
      <c r="N1076" t="s">
        <v>18</v>
      </c>
    </row>
    <row r="1077" spans="5:14" x14ac:dyDescent="0.35">
      <c r="E1077" t="s">
        <v>58</v>
      </c>
      <c r="F1077" t="s">
        <v>30</v>
      </c>
      <c r="G1077" t="s">
        <v>12</v>
      </c>
      <c r="H1077" t="s">
        <v>13</v>
      </c>
      <c r="I1077" t="s">
        <v>14</v>
      </c>
      <c r="J1077" t="s">
        <v>20</v>
      </c>
      <c r="K1077">
        <v>5610</v>
      </c>
      <c r="L1077">
        <v>15</v>
      </c>
      <c r="M1077">
        <v>84150</v>
      </c>
      <c r="N1077" t="s">
        <v>18</v>
      </c>
    </row>
    <row r="1078" spans="5:14" x14ac:dyDescent="0.35">
      <c r="E1078" t="s">
        <v>58</v>
      </c>
      <c r="F1078" t="s">
        <v>30</v>
      </c>
      <c r="G1078" t="s">
        <v>12</v>
      </c>
      <c r="H1078" t="s">
        <v>22</v>
      </c>
      <c r="I1078" t="s">
        <v>23</v>
      </c>
      <c r="J1078" t="s">
        <v>24</v>
      </c>
      <c r="K1078">
        <v>11602</v>
      </c>
      <c r="L1078">
        <v>2</v>
      </c>
      <c r="M1078">
        <v>23204</v>
      </c>
      <c r="N1078" t="s">
        <v>18</v>
      </c>
    </row>
    <row r="1079" spans="5:14" x14ac:dyDescent="0.35">
      <c r="E1079" t="s">
        <v>58</v>
      </c>
      <c r="F1079" t="s">
        <v>30</v>
      </c>
      <c r="G1079" t="s">
        <v>12</v>
      </c>
      <c r="H1079" t="s">
        <v>22</v>
      </c>
      <c r="I1079" t="s">
        <v>23</v>
      </c>
      <c r="J1079" t="s">
        <v>25</v>
      </c>
      <c r="K1079">
        <v>12169</v>
      </c>
      <c r="L1079">
        <v>2</v>
      </c>
      <c r="M1079">
        <v>24338</v>
      </c>
      <c r="N1079" t="s">
        <v>21</v>
      </c>
    </row>
    <row r="1080" spans="5:14" x14ac:dyDescent="0.35">
      <c r="E1080" t="s">
        <v>58</v>
      </c>
      <c r="F1080" t="s">
        <v>30</v>
      </c>
      <c r="G1080" t="s">
        <v>12</v>
      </c>
      <c r="H1080" t="s">
        <v>22</v>
      </c>
      <c r="I1080" t="s">
        <v>23</v>
      </c>
      <c r="J1080" t="s">
        <v>26</v>
      </c>
      <c r="K1080">
        <v>5204</v>
      </c>
      <c r="L1080">
        <v>5</v>
      </c>
      <c r="M1080">
        <v>26020</v>
      </c>
      <c r="N1080" t="s">
        <v>18</v>
      </c>
    </row>
    <row r="1081" spans="5:14" x14ac:dyDescent="0.35">
      <c r="E1081" t="s">
        <v>58</v>
      </c>
      <c r="F1081" t="s">
        <v>30</v>
      </c>
      <c r="G1081" t="s">
        <v>12</v>
      </c>
      <c r="H1081" t="s">
        <v>22</v>
      </c>
      <c r="I1081" t="s">
        <v>27</v>
      </c>
      <c r="J1081" t="s">
        <v>28</v>
      </c>
      <c r="K1081">
        <v>12557</v>
      </c>
      <c r="L1081">
        <v>3</v>
      </c>
      <c r="M1081">
        <v>37671</v>
      </c>
      <c r="N1081" t="s">
        <v>21</v>
      </c>
    </row>
    <row r="1082" spans="5:14" x14ac:dyDescent="0.35">
      <c r="E1082" t="s">
        <v>58</v>
      </c>
      <c r="F1082" t="s">
        <v>31</v>
      </c>
      <c r="G1082" t="s">
        <v>12</v>
      </c>
      <c r="H1082" t="s">
        <v>13</v>
      </c>
      <c r="I1082" t="s">
        <v>14</v>
      </c>
      <c r="J1082" t="s">
        <v>15</v>
      </c>
      <c r="K1082">
        <v>14446</v>
      </c>
      <c r="L1082">
        <v>10</v>
      </c>
      <c r="M1082">
        <v>144460</v>
      </c>
      <c r="N1082" t="s">
        <v>18</v>
      </c>
    </row>
    <row r="1083" spans="5:14" x14ac:dyDescent="0.35">
      <c r="E1083" t="s">
        <v>58</v>
      </c>
      <c r="F1083" t="s">
        <v>31</v>
      </c>
      <c r="G1083" t="s">
        <v>12</v>
      </c>
      <c r="H1083" t="s">
        <v>13</v>
      </c>
      <c r="I1083" t="s">
        <v>14</v>
      </c>
      <c r="J1083" t="s">
        <v>17</v>
      </c>
      <c r="K1083">
        <v>8167</v>
      </c>
      <c r="L1083">
        <v>20</v>
      </c>
      <c r="M1083">
        <v>163340</v>
      </c>
      <c r="N1083" t="s">
        <v>18</v>
      </c>
    </row>
    <row r="1084" spans="5:14" x14ac:dyDescent="0.35">
      <c r="E1084" t="s">
        <v>58</v>
      </c>
      <c r="F1084" t="s">
        <v>31</v>
      </c>
      <c r="G1084" t="s">
        <v>12</v>
      </c>
      <c r="H1084" t="s">
        <v>13</v>
      </c>
      <c r="I1084" t="s">
        <v>14</v>
      </c>
      <c r="J1084" t="s">
        <v>19</v>
      </c>
      <c r="K1084">
        <v>8261</v>
      </c>
      <c r="L1084">
        <v>30</v>
      </c>
      <c r="M1084">
        <v>247830</v>
      </c>
      <c r="N1084" t="s">
        <v>21</v>
      </c>
    </row>
    <row r="1085" spans="5:14" x14ac:dyDescent="0.35">
      <c r="E1085" t="s">
        <v>58</v>
      </c>
      <c r="F1085" t="s">
        <v>31</v>
      </c>
      <c r="G1085" t="s">
        <v>12</v>
      </c>
      <c r="H1085" t="s">
        <v>13</v>
      </c>
      <c r="I1085" t="s">
        <v>14</v>
      </c>
      <c r="J1085" t="s">
        <v>20</v>
      </c>
      <c r="K1085">
        <v>10384</v>
      </c>
      <c r="L1085">
        <v>15</v>
      </c>
      <c r="M1085">
        <v>155760</v>
      </c>
      <c r="N1085" t="s">
        <v>21</v>
      </c>
    </row>
    <row r="1086" spans="5:14" x14ac:dyDescent="0.35">
      <c r="E1086" t="s">
        <v>58</v>
      </c>
      <c r="F1086" t="s">
        <v>31</v>
      </c>
      <c r="G1086" t="s">
        <v>12</v>
      </c>
      <c r="H1086" t="s">
        <v>22</v>
      </c>
      <c r="I1086" t="s">
        <v>23</v>
      </c>
      <c r="J1086" t="s">
        <v>24</v>
      </c>
      <c r="K1086">
        <v>10090</v>
      </c>
      <c r="L1086">
        <v>2</v>
      </c>
      <c r="M1086">
        <v>20180</v>
      </c>
      <c r="N1086" t="s">
        <v>18</v>
      </c>
    </row>
    <row r="1087" spans="5:14" x14ac:dyDescent="0.35">
      <c r="E1087" t="s">
        <v>58</v>
      </c>
      <c r="F1087" t="s">
        <v>31</v>
      </c>
      <c r="G1087" t="s">
        <v>12</v>
      </c>
      <c r="H1087" t="s">
        <v>22</v>
      </c>
      <c r="I1087" t="s">
        <v>23</v>
      </c>
      <c r="J1087" t="s">
        <v>25</v>
      </c>
      <c r="K1087">
        <v>14267</v>
      </c>
      <c r="L1087">
        <v>2</v>
      </c>
      <c r="M1087">
        <v>28534</v>
      </c>
      <c r="N1087" t="s">
        <v>18</v>
      </c>
    </row>
    <row r="1088" spans="5:14" x14ac:dyDescent="0.35">
      <c r="E1088" t="s">
        <v>58</v>
      </c>
      <c r="F1088" t="s">
        <v>31</v>
      </c>
      <c r="G1088" t="s">
        <v>12</v>
      </c>
      <c r="H1088" t="s">
        <v>22</v>
      </c>
      <c r="I1088" t="s">
        <v>23</v>
      </c>
      <c r="J1088" t="s">
        <v>26</v>
      </c>
      <c r="K1088">
        <v>5359</v>
      </c>
      <c r="L1088">
        <v>5</v>
      </c>
      <c r="M1088">
        <v>26795</v>
      </c>
      <c r="N1088" t="s">
        <v>18</v>
      </c>
    </row>
    <row r="1089" spans="5:14" x14ac:dyDescent="0.35">
      <c r="E1089" t="s">
        <v>58</v>
      </c>
      <c r="F1089" t="s">
        <v>31</v>
      </c>
      <c r="G1089" t="s">
        <v>12</v>
      </c>
      <c r="H1089" t="s">
        <v>22</v>
      </c>
      <c r="I1089" t="s">
        <v>27</v>
      </c>
      <c r="J1089" t="s">
        <v>28</v>
      </c>
      <c r="K1089">
        <v>10350</v>
      </c>
      <c r="L1089">
        <v>3</v>
      </c>
      <c r="M1089">
        <v>31050</v>
      </c>
      <c r="N1089" t="s">
        <v>16</v>
      </c>
    </row>
    <row r="1090" spans="5:14" x14ac:dyDescent="0.35">
      <c r="E1090" t="s">
        <v>58</v>
      </c>
      <c r="F1090" t="s">
        <v>32</v>
      </c>
      <c r="G1090" t="s">
        <v>12</v>
      </c>
      <c r="H1090" t="s">
        <v>13</v>
      </c>
      <c r="I1090" t="s">
        <v>14</v>
      </c>
      <c r="J1090" t="s">
        <v>15</v>
      </c>
      <c r="K1090">
        <v>6926</v>
      </c>
      <c r="L1090">
        <v>10</v>
      </c>
      <c r="M1090">
        <v>69260</v>
      </c>
      <c r="N1090" t="s">
        <v>21</v>
      </c>
    </row>
    <row r="1091" spans="5:14" x14ac:dyDescent="0.35">
      <c r="E1091" t="s">
        <v>58</v>
      </c>
      <c r="F1091" t="s">
        <v>32</v>
      </c>
      <c r="G1091" t="s">
        <v>12</v>
      </c>
      <c r="H1091" t="s">
        <v>13</v>
      </c>
      <c r="I1091" t="s">
        <v>14</v>
      </c>
      <c r="J1091" t="s">
        <v>17</v>
      </c>
      <c r="K1091">
        <v>8672</v>
      </c>
      <c r="L1091">
        <v>20</v>
      </c>
      <c r="M1091">
        <v>173440</v>
      </c>
      <c r="N1091" t="s">
        <v>18</v>
      </c>
    </row>
    <row r="1092" spans="5:14" x14ac:dyDescent="0.35">
      <c r="E1092" t="s">
        <v>58</v>
      </c>
      <c r="F1092" t="s">
        <v>32</v>
      </c>
      <c r="G1092" t="s">
        <v>12</v>
      </c>
      <c r="H1092" t="s">
        <v>13</v>
      </c>
      <c r="I1092" t="s">
        <v>14</v>
      </c>
      <c r="J1092" t="s">
        <v>19</v>
      </c>
      <c r="K1092">
        <v>13275</v>
      </c>
      <c r="L1092">
        <v>30</v>
      </c>
      <c r="M1092">
        <v>398250</v>
      </c>
      <c r="N1092" t="s">
        <v>21</v>
      </c>
    </row>
    <row r="1093" spans="5:14" x14ac:dyDescent="0.35">
      <c r="E1093" t="s">
        <v>58</v>
      </c>
      <c r="F1093" t="s">
        <v>32</v>
      </c>
      <c r="G1093" t="s">
        <v>12</v>
      </c>
      <c r="H1093" t="s">
        <v>13</v>
      </c>
      <c r="I1093" t="s">
        <v>14</v>
      </c>
      <c r="J1093" t="s">
        <v>20</v>
      </c>
      <c r="K1093">
        <v>11637</v>
      </c>
      <c r="L1093">
        <v>15</v>
      </c>
      <c r="M1093">
        <v>174555</v>
      </c>
      <c r="N1093" t="s">
        <v>21</v>
      </c>
    </row>
    <row r="1094" spans="5:14" x14ac:dyDescent="0.35">
      <c r="E1094" t="s">
        <v>58</v>
      </c>
      <c r="F1094" t="s">
        <v>32</v>
      </c>
      <c r="G1094" t="s">
        <v>12</v>
      </c>
      <c r="H1094" t="s">
        <v>22</v>
      </c>
      <c r="I1094" t="s">
        <v>23</v>
      </c>
      <c r="J1094" t="s">
        <v>24</v>
      </c>
      <c r="K1094">
        <v>8000</v>
      </c>
      <c r="L1094">
        <v>2</v>
      </c>
      <c r="M1094">
        <v>16000</v>
      </c>
      <c r="N1094" t="s">
        <v>18</v>
      </c>
    </row>
    <row r="1095" spans="5:14" x14ac:dyDescent="0.35">
      <c r="E1095" t="s">
        <v>58</v>
      </c>
      <c r="F1095" t="s">
        <v>32</v>
      </c>
      <c r="G1095" t="s">
        <v>12</v>
      </c>
      <c r="H1095" t="s">
        <v>22</v>
      </c>
      <c r="I1095" t="s">
        <v>23</v>
      </c>
      <c r="J1095" t="s">
        <v>25</v>
      </c>
      <c r="K1095">
        <v>6552</v>
      </c>
      <c r="L1095">
        <v>2</v>
      </c>
      <c r="M1095">
        <v>13104</v>
      </c>
      <c r="N1095" t="s">
        <v>18</v>
      </c>
    </row>
    <row r="1096" spans="5:14" x14ac:dyDescent="0.35">
      <c r="E1096" t="s">
        <v>58</v>
      </c>
      <c r="F1096" t="s">
        <v>32</v>
      </c>
      <c r="G1096" t="s">
        <v>12</v>
      </c>
      <c r="H1096" t="s">
        <v>22</v>
      </c>
      <c r="I1096" t="s">
        <v>23</v>
      </c>
      <c r="J1096" t="s">
        <v>26</v>
      </c>
      <c r="K1096">
        <v>13085</v>
      </c>
      <c r="L1096">
        <v>5</v>
      </c>
      <c r="M1096">
        <v>65425</v>
      </c>
      <c r="N1096" t="s">
        <v>18</v>
      </c>
    </row>
    <row r="1097" spans="5:14" x14ac:dyDescent="0.35">
      <c r="E1097" t="s">
        <v>58</v>
      </c>
      <c r="F1097" t="s">
        <v>32</v>
      </c>
      <c r="G1097" t="s">
        <v>12</v>
      </c>
      <c r="H1097" t="s">
        <v>22</v>
      </c>
      <c r="I1097" t="s">
        <v>27</v>
      </c>
      <c r="J1097" t="s">
        <v>28</v>
      </c>
      <c r="K1097">
        <v>12439</v>
      </c>
      <c r="L1097">
        <v>3</v>
      </c>
      <c r="M1097">
        <v>37317</v>
      </c>
      <c r="N1097" t="s">
        <v>18</v>
      </c>
    </row>
    <row r="1098" spans="5:14" x14ac:dyDescent="0.35">
      <c r="E1098" t="s">
        <v>58</v>
      </c>
      <c r="F1098" t="s">
        <v>33</v>
      </c>
      <c r="G1098" t="s">
        <v>12</v>
      </c>
      <c r="H1098" t="s">
        <v>13</v>
      </c>
      <c r="I1098" t="s">
        <v>14</v>
      </c>
      <c r="J1098" t="s">
        <v>15</v>
      </c>
      <c r="K1098">
        <v>13054</v>
      </c>
      <c r="L1098">
        <v>10</v>
      </c>
      <c r="M1098">
        <v>130540</v>
      </c>
      <c r="N1098" t="s">
        <v>21</v>
      </c>
    </row>
    <row r="1099" spans="5:14" x14ac:dyDescent="0.35">
      <c r="E1099" t="s">
        <v>58</v>
      </c>
      <c r="F1099" t="s">
        <v>33</v>
      </c>
      <c r="G1099" t="s">
        <v>12</v>
      </c>
      <c r="H1099" t="s">
        <v>13</v>
      </c>
      <c r="I1099" t="s">
        <v>14</v>
      </c>
      <c r="J1099" t="s">
        <v>17</v>
      </c>
      <c r="K1099">
        <v>12162</v>
      </c>
      <c r="L1099">
        <v>20</v>
      </c>
      <c r="M1099">
        <v>243240</v>
      </c>
      <c r="N1099" t="s">
        <v>18</v>
      </c>
    </row>
    <row r="1100" spans="5:14" x14ac:dyDescent="0.35">
      <c r="E1100" t="s">
        <v>58</v>
      </c>
      <c r="F1100" t="s">
        <v>33</v>
      </c>
      <c r="G1100" t="s">
        <v>12</v>
      </c>
      <c r="H1100" t="s">
        <v>13</v>
      </c>
      <c r="I1100" t="s">
        <v>14</v>
      </c>
      <c r="J1100" t="s">
        <v>19</v>
      </c>
      <c r="K1100">
        <v>9189</v>
      </c>
      <c r="L1100">
        <v>30</v>
      </c>
      <c r="M1100">
        <v>275670</v>
      </c>
      <c r="N1100" t="s">
        <v>21</v>
      </c>
    </row>
    <row r="1101" spans="5:14" x14ac:dyDescent="0.35">
      <c r="E1101" t="s">
        <v>58</v>
      </c>
      <c r="F1101" t="s">
        <v>33</v>
      </c>
      <c r="G1101" t="s">
        <v>12</v>
      </c>
      <c r="H1101" t="s">
        <v>13</v>
      </c>
      <c r="I1101" t="s">
        <v>14</v>
      </c>
      <c r="J1101" t="s">
        <v>20</v>
      </c>
      <c r="K1101">
        <v>5015</v>
      </c>
      <c r="L1101">
        <v>15</v>
      </c>
      <c r="M1101">
        <v>75225</v>
      </c>
      <c r="N1101" t="s">
        <v>21</v>
      </c>
    </row>
    <row r="1102" spans="5:14" x14ac:dyDescent="0.35">
      <c r="E1102" t="s">
        <v>58</v>
      </c>
      <c r="F1102" t="s">
        <v>33</v>
      </c>
      <c r="G1102" t="s">
        <v>12</v>
      </c>
      <c r="H1102" t="s">
        <v>22</v>
      </c>
      <c r="I1102" t="s">
        <v>23</v>
      </c>
      <c r="J1102" t="s">
        <v>24</v>
      </c>
      <c r="K1102">
        <v>8608</v>
      </c>
      <c r="L1102">
        <v>2</v>
      </c>
      <c r="M1102">
        <v>17216</v>
      </c>
      <c r="N1102" t="s">
        <v>21</v>
      </c>
    </row>
    <row r="1103" spans="5:14" x14ac:dyDescent="0.35">
      <c r="E1103" t="s">
        <v>58</v>
      </c>
      <c r="F1103" t="s">
        <v>33</v>
      </c>
      <c r="G1103" t="s">
        <v>12</v>
      </c>
      <c r="H1103" t="s">
        <v>22</v>
      </c>
      <c r="I1103" t="s">
        <v>23</v>
      </c>
      <c r="J1103" t="s">
        <v>25</v>
      </c>
      <c r="K1103">
        <v>10473</v>
      </c>
      <c r="L1103">
        <v>2</v>
      </c>
      <c r="M1103">
        <v>20946</v>
      </c>
      <c r="N1103" t="s">
        <v>16</v>
      </c>
    </row>
    <row r="1104" spans="5:14" x14ac:dyDescent="0.35">
      <c r="E1104" t="s">
        <v>58</v>
      </c>
      <c r="F1104" t="s">
        <v>33</v>
      </c>
      <c r="G1104" t="s">
        <v>12</v>
      </c>
      <c r="H1104" t="s">
        <v>22</v>
      </c>
      <c r="I1104" t="s">
        <v>23</v>
      </c>
      <c r="J1104" t="s">
        <v>26</v>
      </c>
      <c r="K1104">
        <v>14794</v>
      </c>
      <c r="L1104">
        <v>5</v>
      </c>
      <c r="M1104">
        <v>73970</v>
      </c>
      <c r="N1104" t="s">
        <v>16</v>
      </c>
    </row>
    <row r="1105" spans="5:14" x14ac:dyDescent="0.35">
      <c r="E1105" t="s">
        <v>58</v>
      </c>
      <c r="F1105" t="s">
        <v>33</v>
      </c>
      <c r="G1105" t="s">
        <v>12</v>
      </c>
      <c r="H1105" t="s">
        <v>22</v>
      </c>
      <c r="I1105" t="s">
        <v>27</v>
      </c>
      <c r="J1105" t="s">
        <v>28</v>
      </c>
      <c r="K1105">
        <v>10032</v>
      </c>
      <c r="L1105">
        <v>3</v>
      </c>
      <c r="M1105">
        <v>30096</v>
      </c>
      <c r="N1105" t="s">
        <v>18</v>
      </c>
    </row>
    <row r="1106" spans="5:14" x14ac:dyDescent="0.35">
      <c r="E1106" t="s">
        <v>58</v>
      </c>
      <c r="F1106" t="s">
        <v>34</v>
      </c>
      <c r="G1106" t="s">
        <v>12</v>
      </c>
      <c r="H1106" t="s">
        <v>13</v>
      </c>
      <c r="I1106" t="s">
        <v>14</v>
      </c>
      <c r="J1106" t="s">
        <v>15</v>
      </c>
      <c r="K1106">
        <v>14734</v>
      </c>
      <c r="L1106">
        <v>10</v>
      </c>
      <c r="M1106">
        <v>147340</v>
      </c>
      <c r="N1106" t="s">
        <v>18</v>
      </c>
    </row>
    <row r="1107" spans="5:14" x14ac:dyDescent="0.35">
      <c r="E1107" t="s">
        <v>58</v>
      </c>
      <c r="F1107" t="s">
        <v>34</v>
      </c>
      <c r="G1107" t="s">
        <v>12</v>
      </c>
      <c r="H1107" t="s">
        <v>13</v>
      </c>
      <c r="I1107" t="s">
        <v>14</v>
      </c>
      <c r="J1107" t="s">
        <v>17</v>
      </c>
      <c r="K1107">
        <v>5068</v>
      </c>
      <c r="L1107">
        <v>20</v>
      </c>
      <c r="M1107">
        <v>101360</v>
      </c>
      <c r="N1107" t="s">
        <v>18</v>
      </c>
    </row>
    <row r="1108" spans="5:14" x14ac:dyDescent="0.35">
      <c r="E1108" t="s">
        <v>58</v>
      </c>
      <c r="F1108" t="s">
        <v>34</v>
      </c>
      <c r="G1108" t="s">
        <v>12</v>
      </c>
      <c r="H1108" t="s">
        <v>13</v>
      </c>
      <c r="I1108" t="s">
        <v>14</v>
      </c>
      <c r="J1108" t="s">
        <v>19</v>
      </c>
      <c r="K1108">
        <v>5939</v>
      </c>
      <c r="L1108">
        <v>30</v>
      </c>
      <c r="M1108">
        <v>178170</v>
      </c>
      <c r="N1108" t="s">
        <v>16</v>
      </c>
    </row>
    <row r="1109" spans="5:14" x14ac:dyDescent="0.35">
      <c r="E1109" t="s">
        <v>58</v>
      </c>
      <c r="F1109" t="s">
        <v>34</v>
      </c>
      <c r="G1109" t="s">
        <v>12</v>
      </c>
      <c r="H1109" t="s">
        <v>13</v>
      </c>
      <c r="I1109" t="s">
        <v>14</v>
      </c>
      <c r="J1109" t="s">
        <v>20</v>
      </c>
      <c r="K1109">
        <v>5615</v>
      </c>
      <c r="L1109">
        <v>15</v>
      </c>
      <c r="M1109">
        <v>84225</v>
      </c>
      <c r="N1109" t="s">
        <v>21</v>
      </c>
    </row>
    <row r="1110" spans="5:14" x14ac:dyDescent="0.35">
      <c r="E1110" t="s">
        <v>58</v>
      </c>
      <c r="F1110" t="s">
        <v>34</v>
      </c>
      <c r="G1110" t="s">
        <v>12</v>
      </c>
      <c r="H1110" t="s">
        <v>22</v>
      </c>
      <c r="I1110" t="s">
        <v>23</v>
      </c>
      <c r="J1110" t="s">
        <v>24</v>
      </c>
      <c r="K1110">
        <v>7084</v>
      </c>
      <c r="L1110">
        <v>2</v>
      </c>
      <c r="M1110">
        <v>14168</v>
      </c>
      <c r="N1110" t="s">
        <v>16</v>
      </c>
    </row>
    <row r="1111" spans="5:14" x14ac:dyDescent="0.35">
      <c r="E1111" t="s">
        <v>58</v>
      </c>
      <c r="F1111" t="s">
        <v>34</v>
      </c>
      <c r="G1111" t="s">
        <v>12</v>
      </c>
      <c r="H1111" t="s">
        <v>22</v>
      </c>
      <c r="I1111" t="s">
        <v>23</v>
      </c>
      <c r="J1111" t="s">
        <v>25</v>
      </c>
      <c r="K1111">
        <v>10647</v>
      </c>
      <c r="L1111">
        <v>2</v>
      </c>
      <c r="M1111">
        <v>21294</v>
      </c>
      <c r="N1111" t="s">
        <v>21</v>
      </c>
    </row>
    <row r="1112" spans="5:14" x14ac:dyDescent="0.35">
      <c r="E1112" t="s">
        <v>58</v>
      </c>
      <c r="F1112" t="s">
        <v>34</v>
      </c>
      <c r="G1112" t="s">
        <v>12</v>
      </c>
      <c r="H1112" t="s">
        <v>22</v>
      </c>
      <c r="I1112" t="s">
        <v>23</v>
      </c>
      <c r="J1112" t="s">
        <v>26</v>
      </c>
      <c r="K1112">
        <v>9320</v>
      </c>
      <c r="L1112">
        <v>5</v>
      </c>
      <c r="M1112">
        <v>46600</v>
      </c>
      <c r="N1112" t="s">
        <v>21</v>
      </c>
    </row>
    <row r="1113" spans="5:14" x14ac:dyDescent="0.35">
      <c r="E1113" t="s">
        <v>58</v>
      </c>
      <c r="F1113" t="s">
        <v>34</v>
      </c>
      <c r="G1113" t="s">
        <v>12</v>
      </c>
      <c r="H1113" t="s">
        <v>22</v>
      </c>
      <c r="I1113" t="s">
        <v>27</v>
      </c>
      <c r="J1113" t="s">
        <v>28</v>
      </c>
      <c r="K1113">
        <v>10362</v>
      </c>
      <c r="L1113">
        <v>3</v>
      </c>
      <c r="M1113">
        <v>31086</v>
      </c>
      <c r="N1113" t="s">
        <v>16</v>
      </c>
    </row>
    <row r="1114" spans="5:14" x14ac:dyDescent="0.35">
      <c r="E1114" t="s">
        <v>58</v>
      </c>
      <c r="F1114" t="s">
        <v>35</v>
      </c>
      <c r="G1114" t="s">
        <v>36</v>
      </c>
      <c r="H1114" t="s">
        <v>13</v>
      </c>
      <c r="I1114" t="s">
        <v>14</v>
      </c>
      <c r="J1114" t="s">
        <v>15</v>
      </c>
      <c r="K1114">
        <v>14906</v>
      </c>
      <c r="L1114">
        <v>10</v>
      </c>
      <c r="M1114">
        <v>149060</v>
      </c>
      <c r="N1114" t="s">
        <v>21</v>
      </c>
    </row>
    <row r="1115" spans="5:14" x14ac:dyDescent="0.35">
      <c r="E1115" t="s">
        <v>58</v>
      </c>
      <c r="F1115" t="s">
        <v>35</v>
      </c>
      <c r="G1115" t="s">
        <v>36</v>
      </c>
      <c r="H1115" t="s">
        <v>13</v>
      </c>
      <c r="I1115" t="s">
        <v>14</v>
      </c>
      <c r="J1115" t="s">
        <v>17</v>
      </c>
      <c r="K1115">
        <v>8970</v>
      </c>
      <c r="L1115">
        <v>20</v>
      </c>
      <c r="M1115">
        <v>179400</v>
      </c>
      <c r="N1115" t="s">
        <v>16</v>
      </c>
    </row>
    <row r="1116" spans="5:14" x14ac:dyDescent="0.35">
      <c r="E1116" t="s">
        <v>58</v>
      </c>
      <c r="F1116" t="s">
        <v>35</v>
      </c>
      <c r="G1116" t="s">
        <v>36</v>
      </c>
      <c r="H1116" t="s">
        <v>13</v>
      </c>
      <c r="I1116" t="s">
        <v>14</v>
      </c>
      <c r="J1116" t="s">
        <v>19</v>
      </c>
      <c r="K1116">
        <v>5182</v>
      </c>
      <c r="L1116">
        <v>30</v>
      </c>
      <c r="M1116">
        <v>155460</v>
      </c>
      <c r="N1116" t="s">
        <v>18</v>
      </c>
    </row>
    <row r="1117" spans="5:14" x14ac:dyDescent="0.35">
      <c r="E1117" t="s">
        <v>58</v>
      </c>
      <c r="F1117" t="s">
        <v>35</v>
      </c>
      <c r="G1117" t="s">
        <v>36</v>
      </c>
      <c r="H1117" t="s">
        <v>13</v>
      </c>
      <c r="I1117" t="s">
        <v>14</v>
      </c>
      <c r="J1117" t="s">
        <v>20</v>
      </c>
      <c r="K1117">
        <v>5835</v>
      </c>
      <c r="L1117">
        <v>15</v>
      </c>
      <c r="M1117">
        <v>87525</v>
      </c>
      <c r="N1117" t="s">
        <v>18</v>
      </c>
    </row>
    <row r="1118" spans="5:14" x14ac:dyDescent="0.35">
      <c r="E1118" t="s">
        <v>58</v>
      </c>
      <c r="F1118" t="s">
        <v>35</v>
      </c>
      <c r="G1118" t="s">
        <v>36</v>
      </c>
      <c r="H1118" t="s">
        <v>22</v>
      </c>
      <c r="I1118" t="s">
        <v>23</v>
      </c>
      <c r="J1118" t="s">
        <v>24</v>
      </c>
      <c r="K1118">
        <v>12740</v>
      </c>
      <c r="L1118">
        <v>2</v>
      </c>
      <c r="M1118">
        <v>25480</v>
      </c>
      <c r="N1118" t="s">
        <v>21</v>
      </c>
    </row>
    <row r="1119" spans="5:14" x14ac:dyDescent="0.35">
      <c r="E1119" t="s">
        <v>58</v>
      </c>
      <c r="F1119" t="s">
        <v>35</v>
      </c>
      <c r="G1119" t="s">
        <v>36</v>
      </c>
      <c r="H1119" t="s">
        <v>22</v>
      </c>
      <c r="I1119" t="s">
        <v>23</v>
      </c>
      <c r="J1119" t="s">
        <v>25</v>
      </c>
      <c r="K1119">
        <v>11292</v>
      </c>
      <c r="L1119">
        <v>2</v>
      </c>
      <c r="M1119">
        <v>22584</v>
      </c>
      <c r="N1119" t="s">
        <v>18</v>
      </c>
    </row>
    <row r="1120" spans="5:14" x14ac:dyDescent="0.35">
      <c r="E1120" t="s">
        <v>58</v>
      </c>
      <c r="F1120" t="s">
        <v>35</v>
      </c>
      <c r="G1120" t="s">
        <v>36</v>
      </c>
      <c r="H1120" t="s">
        <v>22</v>
      </c>
      <c r="I1120" t="s">
        <v>23</v>
      </c>
      <c r="J1120" t="s">
        <v>26</v>
      </c>
      <c r="K1120">
        <v>9761</v>
      </c>
      <c r="L1120">
        <v>5</v>
      </c>
      <c r="M1120">
        <v>48805</v>
      </c>
      <c r="N1120" t="s">
        <v>16</v>
      </c>
    </row>
    <row r="1121" spans="5:14" x14ac:dyDescent="0.35">
      <c r="E1121" t="s">
        <v>58</v>
      </c>
      <c r="F1121" t="s">
        <v>35</v>
      </c>
      <c r="G1121" t="s">
        <v>36</v>
      </c>
      <c r="H1121" t="s">
        <v>22</v>
      </c>
      <c r="I1121" t="s">
        <v>27</v>
      </c>
      <c r="J1121" t="s">
        <v>28</v>
      </c>
      <c r="K1121">
        <v>9569</v>
      </c>
      <c r="L1121">
        <v>3</v>
      </c>
      <c r="M1121">
        <v>28707</v>
      </c>
      <c r="N1121" t="s">
        <v>16</v>
      </c>
    </row>
    <row r="1122" spans="5:14" x14ac:dyDescent="0.35">
      <c r="E1122" t="s">
        <v>58</v>
      </c>
      <c r="F1122" t="s">
        <v>37</v>
      </c>
      <c r="G1122" t="s">
        <v>36</v>
      </c>
      <c r="H1122" t="s">
        <v>13</v>
      </c>
      <c r="I1122" t="s">
        <v>14</v>
      </c>
      <c r="J1122" t="s">
        <v>15</v>
      </c>
      <c r="K1122">
        <v>12952</v>
      </c>
      <c r="L1122">
        <v>10</v>
      </c>
      <c r="M1122">
        <v>129520</v>
      </c>
      <c r="N1122" t="s">
        <v>16</v>
      </c>
    </row>
    <row r="1123" spans="5:14" x14ac:dyDescent="0.35">
      <c r="E1123" t="s">
        <v>58</v>
      </c>
      <c r="F1123" t="s">
        <v>37</v>
      </c>
      <c r="G1123" t="s">
        <v>36</v>
      </c>
      <c r="H1123" t="s">
        <v>13</v>
      </c>
      <c r="I1123" t="s">
        <v>14</v>
      </c>
      <c r="J1123" t="s">
        <v>17</v>
      </c>
      <c r="K1123">
        <v>10616</v>
      </c>
      <c r="L1123">
        <v>20</v>
      </c>
      <c r="M1123">
        <v>212320</v>
      </c>
      <c r="N1123" t="s">
        <v>21</v>
      </c>
    </row>
    <row r="1124" spans="5:14" x14ac:dyDescent="0.35">
      <c r="E1124" t="s">
        <v>58</v>
      </c>
      <c r="F1124" t="s">
        <v>37</v>
      </c>
      <c r="G1124" t="s">
        <v>36</v>
      </c>
      <c r="H1124" t="s">
        <v>13</v>
      </c>
      <c r="I1124" t="s">
        <v>14</v>
      </c>
      <c r="J1124" t="s">
        <v>19</v>
      </c>
      <c r="K1124">
        <v>6114</v>
      </c>
      <c r="L1124">
        <v>30</v>
      </c>
      <c r="M1124">
        <v>183420</v>
      </c>
      <c r="N1124" t="s">
        <v>16</v>
      </c>
    </row>
    <row r="1125" spans="5:14" x14ac:dyDescent="0.35">
      <c r="E1125" t="s">
        <v>58</v>
      </c>
      <c r="F1125" t="s">
        <v>37</v>
      </c>
      <c r="G1125" t="s">
        <v>36</v>
      </c>
      <c r="H1125" t="s">
        <v>13</v>
      </c>
      <c r="I1125" t="s">
        <v>14</v>
      </c>
      <c r="J1125" t="s">
        <v>20</v>
      </c>
      <c r="K1125">
        <v>6655</v>
      </c>
      <c r="L1125">
        <v>15</v>
      </c>
      <c r="M1125">
        <v>99825</v>
      </c>
      <c r="N1125" t="s">
        <v>18</v>
      </c>
    </row>
    <row r="1126" spans="5:14" x14ac:dyDescent="0.35">
      <c r="E1126" t="s">
        <v>58</v>
      </c>
      <c r="F1126" t="s">
        <v>37</v>
      </c>
      <c r="G1126" t="s">
        <v>36</v>
      </c>
      <c r="H1126" t="s">
        <v>22</v>
      </c>
      <c r="I1126" t="s">
        <v>23</v>
      </c>
      <c r="J1126" t="s">
        <v>24</v>
      </c>
      <c r="K1126">
        <v>10683</v>
      </c>
      <c r="L1126">
        <v>2</v>
      </c>
      <c r="M1126">
        <v>21366</v>
      </c>
      <c r="N1126" t="s">
        <v>18</v>
      </c>
    </row>
    <row r="1127" spans="5:14" x14ac:dyDescent="0.35">
      <c r="E1127" t="s">
        <v>58</v>
      </c>
      <c r="F1127" t="s">
        <v>37</v>
      </c>
      <c r="G1127" t="s">
        <v>36</v>
      </c>
      <c r="H1127" t="s">
        <v>22</v>
      </c>
      <c r="I1127" t="s">
        <v>23</v>
      </c>
      <c r="J1127" t="s">
        <v>25</v>
      </c>
      <c r="K1127">
        <v>5963</v>
      </c>
      <c r="L1127">
        <v>2</v>
      </c>
      <c r="M1127">
        <v>11926</v>
      </c>
      <c r="N1127" t="s">
        <v>21</v>
      </c>
    </row>
    <row r="1128" spans="5:14" x14ac:dyDescent="0.35">
      <c r="E1128" t="s">
        <v>58</v>
      </c>
      <c r="F1128" t="s">
        <v>37</v>
      </c>
      <c r="G1128" t="s">
        <v>36</v>
      </c>
      <c r="H1128" t="s">
        <v>22</v>
      </c>
      <c r="I1128" t="s">
        <v>23</v>
      </c>
      <c r="J1128" t="s">
        <v>26</v>
      </c>
      <c r="K1128">
        <v>5225</v>
      </c>
      <c r="L1128">
        <v>5</v>
      </c>
      <c r="M1128">
        <v>26125</v>
      </c>
      <c r="N1128" t="s">
        <v>16</v>
      </c>
    </row>
    <row r="1129" spans="5:14" x14ac:dyDescent="0.35">
      <c r="E1129" t="s">
        <v>58</v>
      </c>
      <c r="F1129" t="s">
        <v>37</v>
      </c>
      <c r="G1129" t="s">
        <v>36</v>
      </c>
      <c r="H1129" t="s">
        <v>22</v>
      </c>
      <c r="I1129" t="s">
        <v>27</v>
      </c>
      <c r="J1129" t="s">
        <v>28</v>
      </c>
      <c r="K1129">
        <v>10167</v>
      </c>
      <c r="L1129">
        <v>3</v>
      </c>
      <c r="M1129">
        <v>30501</v>
      </c>
      <c r="N1129" t="s">
        <v>21</v>
      </c>
    </row>
    <row r="1130" spans="5:14" x14ac:dyDescent="0.35">
      <c r="E1130" t="s">
        <v>58</v>
      </c>
      <c r="F1130" t="s">
        <v>38</v>
      </c>
      <c r="G1130" t="s">
        <v>36</v>
      </c>
      <c r="H1130" t="s">
        <v>13</v>
      </c>
      <c r="I1130" t="s">
        <v>14</v>
      </c>
      <c r="J1130" t="s">
        <v>15</v>
      </c>
      <c r="K1130">
        <v>14138</v>
      </c>
      <c r="L1130">
        <v>10</v>
      </c>
      <c r="M1130">
        <v>141380</v>
      </c>
      <c r="N1130" t="s">
        <v>16</v>
      </c>
    </row>
    <row r="1131" spans="5:14" x14ac:dyDescent="0.35">
      <c r="E1131" t="s">
        <v>58</v>
      </c>
      <c r="F1131" t="s">
        <v>38</v>
      </c>
      <c r="G1131" t="s">
        <v>36</v>
      </c>
      <c r="H1131" t="s">
        <v>13</v>
      </c>
      <c r="I1131" t="s">
        <v>14</v>
      </c>
      <c r="J1131" t="s">
        <v>17</v>
      </c>
      <c r="K1131">
        <v>14692</v>
      </c>
      <c r="L1131">
        <v>20</v>
      </c>
      <c r="M1131">
        <v>293840</v>
      </c>
      <c r="N1131" t="s">
        <v>21</v>
      </c>
    </row>
    <row r="1132" spans="5:14" x14ac:dyDescent="0.35">
      <c r="E1132" t="s">
        <v>58</v>
      </c>
      <c r="F1132" t="s">
        <v>38</v>
      </c>
      <c r="G1132" t="s">
        <v>36</v>
      </c>
      <c r="H1132" t="s">
        <v>13</v>
      </c>
      <c r="I1132" t="s">
        <v>14</v>
      </c>
      <c r="J1132" t="s">
        <v>19</v>
      </c>
      <c r="K1132">
        <v>5401</v>
      </c>
      <c r="L1132">
        <v>30</v>
      </c>
      <c r="M1132">
        <v>162030</v>
      </c>
      <c r="N1132" t="s">
        <v>16</v>
      </c>
    </row>
    <row r="1133" spans="5:14" x14ac:dyDescent="0.35">
      <c r="E1133" t="s">
        <v>58</v>
      </c>
      <c r="F1133" t="s">
        <v>38</v>
      </c>
      <c r="G1133" t="s">
        <v>36</v>
      </c>
      <c r="H1133" t="s">
        <v>13</v>
      </c>
      <c r="I1133" t="s">
        <v>14</v>
      </c>
      <c r="J1133" t="s">
        <v>20</v>
      </c>
      <c r="K1133">
        <v>8026</v>
      </c>
      <c r="L1133">
        <v>15</v>
      </c>
      <c r="M1133">
        <v>120390</v>
      </c>
      <c r="N1133" t="s">
        <v>18</v>
      </c>
    </row>
    <row r="1134" spans="5:14" x14ac:dyDescent="0.35">
      <c r="E1134" t="s">
        <v>58</v>
      </c>
      <c r="F1134" t="s">
        <v>38</v>
      </c>
      <c r="G1134" t="s">
        <v>36</v>
      </c>
      <c r="H1134" t="s">
        <v>22</v>
      </c>
      <c r="I1134" t="s">
        <v>23</v>
      </c>
      <c r="J1134" t="s">
        <v>24</v>
      </c>
      <c r="K1134">
        <v>10261</v>
      </c>
      <c r="L1134">
        <v>2</v>
      </c>
      <c r="M1134">
        <v>20522</v>
      </c>
      <c r="N1134" t="s">
        <v>21</v>
      </c>
    </row>
    <row r="1135" spans="5:14" x14ac:dyDescent="0.35">
      <c r="E1135" t="s">
        <v>58</v>
      </c>
      <c r="F1135" t="s">
        <v>38</v>
      </c>
      <c r="G1135" t="s">
        <v>36</v>
      </c>
      <c r="H1135" t="s">
        <v>22</v>
      </c>
      <c r="I1135" t="s">
        <v>23</v>
      </c>
      <c r="J1135" t="s">
        <v>25</v>
      </c>
      <c r="K1135">
        <v>9875</v>
      </c>
      <c r="L1135">
        <v>2</v>
      </c>
      <c r="M1135">
        <v>19750</v>
      </c>
      <c r="N1135" t="s">
        <v>18</v>
      </c>
    </row>
    <row r="1136" spans="5:14" x14ac:dyDescent="0.35">
      <c r="E1136" t="s">
        <v>58</v>
      </c>
      <c r="F1136" t="s">
        <v>38</v>
      </c>
      <c r="G1136" t="s">
        <v>36</v>
      </c>
      <c r="H1136" t="s">
        <v>22</v>
      </c>
      <c r="I1136" t="s">
        <v>23</v>
      </c>
      <c r="J1136" t="s">
        <v>26</v>
      </c>
      <c r="K1136">
        <v>11217</v>
      </c>
      <c r="L1136">
        <v>5</v>
      </c>
      <c r="M1136">
        <v>56085</v>
      </c>
      <c r="N1136" t="s">
        <v>18</v>
      </c>
    </row>
    <row r="1137" spans="5:14" x14ac:dyDescent="0.35">
      <c r="E1137" t="s">
        <v>58</v>
      </c>
      <c r="F1137" t="s">
        <v>38</v>
      </c>
      <c r="G1137" t="s">
        <v>36</v>
      </c>
      <c r="H1137" t="s">
        <v>22</v>
      </c>
      <c r="I1137" t="s">
        <v>27</v>
      </c>
      <c r="J1137" t="s">
        <v>28</v>
      </c>
      <c r="K1137">
        <v>14713</v>
      </c>
      <c r="L1137">
        <v>3</v>
      </c>
      <c r="M1137">
        <v>44139</v>
      </c>
      <c r="N1137" t="s">
        <v>16</v>
      </c>
    </row>
    <row r="1138" spans="5:14" x14ac:dyDescent="0.35">
      <c r="E1138" t="s">
        <v>58</v>
      </c>
      <c r="F1138" t="s">
        <v>39</v>
      </c>
      <c r="G1138" t="s">
        <v>36</v>
      </c>
      <c r="H1138" t="s">
        <v>13</v>
      </c>
      <c r="I1138" t="s">
        <v>14</v>
      </c>
      <c r="J1138" t="s">
        <v>15</v>
      </c>
      <c r="K1138">
        <v>7322</v>
      </c>
      <c r="L1138">
        <v>10</v>
      </c>
      <c r="M1138">
        <v>73220</v>
      </c>
      <c r="N1138" t="s">
        <v>21</v>
      </c>
    </row>
    <row r="1139" spans="5:14" x14ac:dyDescent="0.35">
      <c r="E1139" t="s">
        <v>58</v>
      </c>
      <c r="F1139" t="s">
        <v>39</v>
      </c>
      <c r="G1139" t="s">
        <v>36</v>
      </c>
      <c r="H1139" t="s">
        <v>13</v>
      </c>
      <c r="I1139" t="s">
        <v>14</v>
      </c>
      <c r="J1139" t="s">
        <v>17</v>
      </c>
      <c r="K1139">
        <v>7614</v>
      </c>
      <c r="L1139">
        <v>20</v>
      </c>
      <c r="M1139">
        <v>152280</v>
      </c>
      <c r="N1139" t="s">
        <v>18</v>
      </c>
    </row>
    <row r="1140" spans="5:14" x14ac:dyDescent="0.35">
      <c r="E1140" t="s">
        <v>58</v>
      </c>
      <c r="F1140" t="s">
        <v>39</v>
      </c>
      <c r="G1140" t="s">
        <v>36</v>
      </c>
      <c r="H1140" t="s">
        <v>13</v>
      </c>
      <c r="I1140" t="s">
        <v>14</v>
      </c>
      <c r="J1140" t="s">
        <v>19</v>
      </c>
      <c r="K1140">
        <v>8087</v>
      </c>
      <c r="L1140">
        <v>30</v>
      </c>
      <c r="M1140">
        <v>242610</v>
      </c>
      <c r="N1140" t="s">
        <v>16</v>
      </c>
    </row>
    <row r="1141" spans="5:14" x14ac:dyDescent="0.35">
      <c r="E1141" t="s">
        <v>58</v>
      </c>
      <c r="F1141" t="s">
        <v>39</v>
      </c>
      <c r="G1141" t="s">
        <v>36</v>
      </c>
      <c r="H1141" t="s">
        <v>13</v>
      </c>
      <c r="I1141" t="s">
        <v>14</v>
      </c>
      <c r="J1141" t="s">
        <v>20</v>
      </c>
      <c r="K1141">
        <v>14346</v>
      </c>
      <c r="L1141">
        <v>15</v>
      </c>
      <c r="M1141">
        <v>215190</v>
      </c>
      <c r="N1141" t="s">
        <v>16</v>
      </c>
    </row>
    <row r="1142" spans="5:14" x14ac:dyDescent="0.35">
      <c r="E1142" t="s">
        <v>58</v>
      </c>
      <c r="F1142" t="s">
        <v>39</v>
      </c>
      <c r="G1142" t="s">
        <v>36</v>
      </c>
      <c r="H1142" t="s">
        <v>22</v>
      </c>
      <c r="I1142" t="s">
        <v>23</v>
      </c>
      <c r="J1142" t="s">
        <v>24</v>
      </c>
      <c r="K1142">
        <v>10420</v>
      </c>
      <c r="L1142">
        <v>2</v>
      </c>
      <c r="M1142">
        <v>20840</v>
      </c>
      <c r="N1142" t="s">
        <v>21</v>
      </c>
    </row>
    <row r="1143" spans="5:14" x14ac:dyDescent="0.35">
      <c r="E1143" t="s">
        <v>58</v>
      </c>
      <c r="F1143" t="s">
        <v>39</v>
      </c>
      <c r="G1143" t="s">
        <v>36</v>
      </c>
      <c r="H1143" t="s">
        <v>22</v>
      </c>
      <c r="I1143" t="s">
        <v>23</v>
      </c>
      <c r="J1143" t="s">
        <v>25</v>
      </c>
      <c r="K1143">
        <v>11845</v>
      </c>
      <c r="L1143">
        <v>2</v>
      </c>
      <c r="M1143">
        <v>23690</v>
      </c>
      <c r="N1143" t="s">
        <v>18</v>
      </c>
    </row>
    <row r="1144" spans="5:14" x14ac:dyDescent="0.35">
      <c r="E1144" t="s">
        <v>58</v>
      </c>
      <c r="F1144" t="s">
        <v>39</v>
      </c>
      <c r="G1144" t="s">
        <v>36</v>
      </c>
      <c r="H1144" t="s">
        <v>22</v>
      </c>
      <c r="I1144" t="s">
        <v>23</v>
      </c>
      <c r="J1144" t="s">
        <v>26</v>
      </c>
      <c r="K1144">
        <v>5188</v>
      </c>
      <c r="L1144">
        <v>5</v>
      </c>
      <c r="M1144">
        <v>25940</v>
      </c>
      <c r="N1144" t="s">
        <v>18</v>
      </c>
    </row>
    <row r="1145" spans="5:14" x14ac:dyDescent="0.35">
      <c r="E1145" t="s">
        <v>58</v>
      </c>
      <c r="F1145" t="s">
        <v>39</v>
      </c>
      <c r="G1145" t="s">
        <v>36</v>
      </c>
      <c r="H1145" t="s">
        <v>22</v>
      </c>
      <c r="I1145" t="s">
        <v>27</v>
      </c>
      <c r="J1145" t="s">
        <v>28</v>
      </c>
      <c r="K1145">
        <v>7171</v>
      </c>
      <c r="L1145">
        <v>3</v>
      </c>
      <c r="M1145">
        <v>21513</v>
      </c>
      <c r="N1145" t="s">
        <v>21</v>
      </c>
    </row>
    <row r="1146" spans="5:14" x14ac:dyDescent="0.35">
      <c r="E1146" t="s">
        <v>58</v>
      </c>
      <c r="F1146" t="s">
        <v>40</v>
      </c>
      <c r="G1146" t="s">
        <v>36</v>
      </c>
      <c r="H1146" t="s">
        <v>13</v>
      </c>
      <c r="I1146" t="s">
        <v>14</v>
      </c>
      <c r="J1146" t="s">
        <v>15</v>
      </c>
      <c r="K1146">
        <v>10673</v>
      </c>
      <c r="L1146">
        <v>10</v>
      </c>
      <c r="M1146">
        <v>106730</v>
      </c>
      <c r="N1146" t="s">
        <v>18</v>
      </c>
    </row>
    <row r="1147" spans="5:14" x14ac:dyDescent="0.35">
      <c r="E1147" t="s">
        <v>58</v>
      </c>
      <c r="F1147" t="s">
        <v>40</v>
      </c>
      <c r="G1147" t="s">
        <v>36</v>
      </c>
      <c r="H1147" t="s">
        <v>13</v>
      </c>
      <c r="I1147" t="s">
        <v>14</v>
      </c>
      <c r="J1147" t="s">
        <v>17</v>
      </c>
      <c r="K1147">
        <v>14282</v>
      </c>
      <c r="L1147">
        <v>20</v>
      </c>
      <c r="M1147">
        <v>285640</v>
      </c>
      <c r="N1147" t="s">
        <v>21</v>
      </c>
    </row>
    <row r="1148" spans="5:14" x14ac:dyDescent="0.35">
      <c r="E1148" t="s">
        <v>58</v>
      </c>
      <c r="F1148" t="s">
        <v>40</v>
      </c>
      <c r="G1148" t="s">
        <v>36</v>
      </c>
      <c r="H1148" t="s">
        <v>13</v>
      </c>
      <c r="I1148" t="s">
        <v>14</v>
      </c>
      <c r="J1148" t="s">
        <v>19</v>
      </c>
      <c r="K1148">
        <v>12723</v>
      </c>
      <c r="L1148">
        <v>30</v>
      </c>
      <c r="M1148">
        <v>381690</v>
      </c>
      <c r="N1148" t="s">
        <v>16</v>
      </c>
    </row>
    <row r="1149" spans="5:14" x14ac:dyDescent="0.35">
      <c r="E1149" t="s">
        <v>58</v>
      </c>
      <c r="F1149" t="s">
        <v>40</v>
      </c>
      <c r="G1149" t="s">
        <v>36</v>
      </c>
      <c r="H1149" t="s">
        <v>13</v>
      </c>
      <c r="I1149" t="s">
        <v>14</v>
      </c>
      <c r="J1149" t="s">
        <v>20</v>
      </c>
      <c r="K1149">
        <v>13102</v>
      </c>
      <c r="L1149">
        <v>15</v>
      </c>
      <c r="M1149">
        <v>196530</v>
      </c>
      <c r="N1149" t="s">
        <v>18</v>
      </c>
    </row>
    <row r="1150" spans="5:14" x14ac:dyDescent="0.35">
      <c r="E1150" t="s">
        <v>58</v>
      </c>
      <c r="F1150" t="s">
        <v>40</v>
      </c>
      <c r="G1150" t="s">
        <v>36</v>
      </c>
      <c r="H1150" t="s">
        <v>22</v>
      </c>
      <c r="I1150" t="s">
        <v>23</v>
      </c>
      <c r="J1150" t="s">
        <v>24</v>
      </c>
      <c r="K1150">
        <v>8778</v>
      </c>
      <c r="L1150">
        <v>2</v>
      </c>
      <c r="M1150">
        <v>17556</v>
      </c>
      <c r="N1150" t="s">
        <v>21</v>
      </c>
    </row>
    <row r="1151" spans="5:14" x14ac:dyDescent="0.35">
      <c r="E1151" t="s">
        <v>58</v>
      </c>
      <c r="F1151" t="s">
        <v>40</v>
      </c>
      <c r="G1151" t="s">
        <v>36</v>
      </c>
      <c r="H1151" t="s">
        <v>22</v>
      </c>
      <c r="I1151" t="s">
        <v>23</v>
      </c>
      <c r="J1151" t="s">
        <v>25</v>
      </c>
      <c r="K1151">
        <v>6161</v>
      </c>
      <c r="L1151">
        <v>2</v>
      </c>
      <c r="M1151">
        <v>12322</v>
      </c>
      <c r="N1151" t="s">
        <v>21</v>
      </c>
    </row>
    <row r="1152" spans="5:14" x14ac:dyDescent="0.35">
      <c r="E1152" t="s">
        <v>58</v>
      </c>
      <c r="F1152" t="s">
        <v>40</v>
      </c>
      <c r="G1152" t="s">
        <v>36</v>
      </c>
      <c r="H1152" t="s">
        <v>22</v>
      </c>
      <c r="I1152" t="s">
        <v>23</v>
      </c>
      <c r="J1152" t="s">
        <v>26</v>
      </c>
      <c r="K1152">
        <v>10411</v>
      </c>
      <c r="L1152">
        <v>5</v>
      </c>
      <c r="M1152">
        <v>52055</v>
      </c>
      <c r="N1152" t="s">
        <v>16</v>
      </c>
    </row>
    <row r="1153" spans="5:14" x14ac:dyDescent="0.35">
      <c r="E1153" t="s">
        <v>58</v>
      </c>
      <c r="F1153" t="s">
        <v>40</v>
      </c>
      <c r="G1153" t="s">
        <v>36</v>
      </c>
      <c r="H1153" t="s">
        <v>22</v>
      </c>
      <c r="I1153" t="s">
        <v>27</v>
      </c>
      <c r="J1153" t="s">
        <v>28</v>
      </c>
      <c r="K1153">
        <v>13132</v>
      </c>
      <c r="L1153">
        <v>3</v>
      </c>
      <c r="M1153">
        <v>39396</v>
      </c>
      <c r="N1153" t="s">
        <v>18</v>
      </c>
    </row>
    <row r="1154" spans="5:14" x14ac:dyDescent="0.35">
      <c r="E1154" t="s">
        <v>58</v>
      </c>
      <c r="F1154" t="s">
        <v>41</v>
      </c>
      <c r="G1154" t="s">
        <v>42</v>
      </c>
      <c r="H1154" t="s">
        <v>13</v>
      </c>
      <c r="I1154" t="s">
        <v>14</v>
      </c>
      <c r="J1154" t="s">
        <v>15</v>
      </c>
      <c r="K1154">
        <v>8727</v>
      </c>
      <c r="L1154">
        <v>10</v>
      </c>
      <c r="M1154">
        <v>87270</v>
      </c>
      <c r="N1154" t="s">
        <v>21</v>
      </c>
    </row>
    <row r="1155" spans="5:14" x14ac:dyDescent="0.35">
      <c r="E1155" t="s">
        <v>58</v>
      </c>
      <c r="F1155" t="s">
        <v>41</v>
      </c>
      <c r="G1155" t="s">
        <v>42</v>
      </c>
      <c r="H1155" t="s">
        <v>13</v>
      </c>
      <c r="I1155" t="s">
        <v>14</v>
      </c>
      <c r="J1155" t="s">
        <v>17</v>
      </c>
      <c r="K1155">
        <v>13472</v>
      </c>
      <c r="L1155">
        <v>20</v>
      </c>
      <c r="M1155">
        <v>269440</v>
      </c>
      <c r="N1155" t="s">
        <v>16</v>
      </c>
    </row>
    <row r="1156" spans="5:14" x14ac:dyDescent="0.35">
      <c r="E1156" t="s">
        <v>58</v>
      </c>
      <c r="F1156" t="s">
        <v>41</v>
      </c>
      <c r="G1156" t="s">
        <v>42</v>
      </c>
      <c r="H1156" t="s">
        <v>13</v>
      </c>
      <c r="I1156" t="s">
        <v>14</v>
      </c>
      <c r="J1156" t="s">
        <v>19</v>
      </c>
      <c r="K1156">
        <v>7969</v>
      </c>
      <c r="L1156">
        <v>30</v>
      </c>
      <c r="M1156">
        <v>239070</v>
      </c>
      <c r="N1156" t="s">
        <v>18</v>
      </c>
    </row>
    <row r="1157" spans="5:14" x14ac:dyDescent="0.35">
      <c r="E1157" t="s">
        <v>58</v>
      </c>
      <c r="F1157" t="s">
        <v>41</v>
      </c>
      <c r="G1157" t="s">
        <v>42</v>
      </c>
      <c r="H1157" t="s">
        <v>13</v>
      </c>
      <c r="I1157" t="s">
        <v>14</v>
      </c>
      <c r="J1157" t="s">
        <v>20</v>
      </c>
      <c r="K1157">
        <v>11099</v>
      </c>
      <c r="L1157">
        <v>15</v>
      </c>
      <c r="M1157">
        <v>166485</v>
      </c>
      <c r="N1157" t="s">
        <v>21</v>
      </c>
    </row>
    <row r="1158" spans="5:14" x14ac:dyDescent="0.35">
      <c r="E1158" t="s">
        <v>58</v>
      </c>
      <c r="F1158" t="s">
        <v>41</v>
      </c>
      <c r="G1158" t="s">
        <v>42</v>
      </c>
      <c r="H1158" t="s">
        <v>22</v>
      </c>
      <c r="I1158" t="s">
        <v>23</v>
      </c>
      <c r="J1158" t="s">
        <v>24</v>
      </c>
      <c r="K1158">
        <v>14844</v>
      </c>
      <c r="L1158">
        <v>2</v>
      </c>
      <c r="M1158">
        <v>29688</v>
      </c>
      <c r="N1158" t="s">
        <v>21</v>
      </c>
    </row>
    <row r="1159" spans="5:14" x14ac:dyDescent="0.35">
      <c r="E1159" t="s">
        <v>58</v>
      </c>
      <c r="F1159" t="s">
        <v>41</v>
      </c>
      <c r="G1159" t="s">
        <v>42</v>
      </c>
      <c r="H1159" t="s">
        <v>22</v>
      </c>
      <c r="I1159" t="s">
        <v>23</v>
      </c>
      <c r="J1159" t="s">
        <v>25</v>
      </c>
      <c r="K1159">
        <v>11195</v>
      </c>
      <c r="L1159">
        <v>2</v>
      </c>
      <c r="M1159">
        <v>22390</v>
      </c>
      <c r="N1159" t="s">
        <v>18</v>
      </c>
    </row>
    <row r="1160" spans="5:14" x14ac:dyDescent="0.35">
      <c r="E1160" t="s">
        <v>58</v>
      </c>
      <c r="F1160" t="s">
        <v>41</v>
      </c>
      <c r="G1160" t="s">
        <v>42</v>
      </c>
      <c r="H1160" t="s">
        <v>22</v>
      </c>
      <c r="I1160" t="s">
        <v>23</v>
      </c>
      <c r="J1160" t="s">
        <v>26</v>
      </c>
      <c r="K1160">
        <v>5026</v>
      </c>
      <c r="L1160">
        <v>5</v>
      </c>
      <c r="M1160">
        <v>25130</v>
      </c>
      <c r="N1160" t="s">
        <v>18</v>
      </c>
    </row>
    <row r="1161" spans="5:14" x14ac:dyDescent="0.35">
      <c r="E1161" t="s">
        <v>58</v>
      </c>
      <c r="F1161" t="s">
        <v>41</v>
      </c>
      <c r="G1161" t="s">
        <v>42</v>
      </c>
      <c r="H1161" t="s">
        <v>22</v>
      </c>
      <c r="I1161" t="s">
        <v>27</v>
      </c>
      <c r="J1161" t="s">
        <v>28</v>
      </c>
      <c r="K1161">
        <v>11497</v>
      </c>
      <c r="L1161">
        <v>3</v>
      </c>
      <c r="M1161">
        <v>34491</v>
      </c>
      <c r="N1161" t="s">
        <v>21</v>
      </c>
    </row>
    <row r="1162" spans="5:14" x14ac:dyDescent="0.35">
      <c r="E1162" t="s">
        <v>58</v>
      </c>
      <c r="F1162" t="s">
        <v>43</v>
      </c>
      <c r="G1162" t="s">
        <v>42</v>
      </c>
      <c r="H1162" t="s">
        <v>13</v>
      </c>
      <c r="I1162" t="s">
        <v>14</v>
      </c>
      <c r="J1162" t="s">
        <v>15</v>
      </c>
      <c r="K1162">
        <v>5056</v>
      </c>
      <c r="L1162">
        <v>10</v>
      </c>
      <c r="M1162">
        <v>50560</v>
      </c>
      <c r="N1162" t="s">
        <v>16</v>
      </c>
    </row>
    <row r="1163" spans="5:14" x14ac:dyDescent="0.35">
      <c r="E1163" t="s">
        <v>58</v>
      </c>
      <c r="F1163" t="s">
        <v>43</v>
      </c>
      <c r="G1163" t="s">
        <v>42</v>
      </c>
      <c r="H1163" t="s">
        <v>13</v>
      </c>
      <c r="I1163" t="s">
        <v>14</v>
      </c>
      <c r="J1163" t="s">
        <v>17</v>
      </c>
      <c r="K1163">
        <v>8334</v>
      </c>
      <c r="L1163">
        <v>20</v>
      </c>
      <c r="M1163">
        <v>166680</v>
      </c>
      <c r="N1163" t="s">
        <v>16</v>
      </c>
    </row>
    <row r="1164" spans="5:14" x14ac:dyDescent="0.35">
      <c r="E1164" t="s">
        <v>58</v>
      </c>
      <c r="F1164" t="s">
        <v>43</v>
      </c>
      <c r="G1164" t="s">
        <v>42</v>
      </c>
      <c r="H1164" t="s">
        <v>13</v>
      </c>
      <c r="I1164" t="s">
        <v>14</v>
      </c>
      <c r="J1164" t="s">
        <v>19</v>
      </c>
      <c r="K1164">
        <v>5091</v>
      </c>
      <c r="L1164">
        <v>30</v>
      </c>
      <c r="M1164">
        <v>152730</v>
      </c>
      <c r="N1164" t="s">
        <v>21</v>
      </c>
    </row>
    <row r="1165" spans="5:14" x14ac:dyDescent="0.35">
      <c r="E1165" t="s">
        <v>58</v>
      </c>
      <c r="F1165" t="s">
        <v>43</v>
      </c>
      <c r="G1165" t="s">
        <v>42</v>
      </c>
      <c r="H1165" t="s">
        <v>13</v>
      </c>
      <c r="I1165" t="s">
        <v>14</v>
      </c>
      <c r="J1165" t="s">
        <v>20</v>
      </c>
      <c r="K1165">
        <v>6629</v>
      </c>
      <c r="L1165">
        <v>15</v>
      </c>
      <c r="M1165">
        <v>99435</v>
      </c>
      <c r="N1165" t="s">
        <v>18</v>
      </c>
    </row>
    <row r="1166" spans="5:14" x14ac:dyDescent="0.35">
      <c r="E1166" t="s">
        <v>58</v>
      </c>
      <c r="F1166" t="s">
        <v>43</v>
      </c>
      <c r="G1166" t="s">
        <v>42</v>
      </c>
      <c r="H1166" t="s">
        <v>22</v>
      </c>
      <c r="I1166" t="s">
        <v>23</v>
      </c>
      <c r="J1166" t="s">
        <v>24</v>
      </c>
      <c r="K1166">
        <v>14026</v>
      </c>
      <c r="L1166">
        <v>2</v>
      </c>
      <c r="M1166">
        <v>28052</v>
      </c>
      <c r="N1166" t="s">
        <v>18</v>
      </c>
    </row>
    <row r="1167" spans="5:14" x14ac:dyDescent="0.35">
      <c r="E1167" t="s">
        <v>58</v>
      </c>
      <c r="F1167" t="s">
        <v>43</v>
      </c>
      <c r="G1167" t="s">
        <v>42</v>
      </c>
      <c r="H1167" t="s">
        <v>22</v>
      </c>
      <c r="I1167" t="s">
        <v>23</v>
      </c>
      <c r="J1167" t="s">
        <v>25</v>
      </c>
      <c r="K1167">
        <v>10903</v>
      </c>
      <c r="L1167">
        <v>2</v>
      </c>
      <c r="M1167">
        <v>21806</v>
      </c>
      <c r="N1167" t="s">
        <v>16</v>
      </c>
    </row>
    <row r="1168" spans="5:14" x14ac:dyDescent="0.35">
      <c r="E1168" t="s">
        <v>58</v>
      </c>
      <c r="F1168" t="s">
        <v>43</v>
      </c>
      <c r="G1168" t="s">
        <v>42</v>
      </c>
      <c r="H1168" t="s">
        <v>22</v>
      </c>
      <c r="I1168" t="s">
        <v>23</v>
      </c>
      <c r="J1168" t="s">
        <v>26</v>
      </c>
      <c r="K1168">
        <v>6963</v>
      </c>
      <c r="L1168">
        <v>5</v>
      </c>
      <c r="M1168">
        <v>34815</v>
      </c>
      <c r="N1168" t="s">
        <v>16</v>
      </c>
    </row>
    <row r="1169" spans="5:14" x14ac:dyDescent="0.35">
      <c r="E1169" t="s">
        <v>58</v>
      </c>
      <c r="F1169" t="s">
        <v>43</v>
      </c>
      <c r="G1169" t="s">
        <v>42</v>
      </c>
      <c r="H1169" t="s">
        <v>22</v>
      </c>
      <c r="I1169" t="s">
        <v>27</v>
      </c>
      <c r="J1169" t="s">
        <v>28</v>
      </c>
      <c r="K1169">
        <v>6300</v>
      </c>
      <c r="L1169">
        <v>3</v>
      </c>
      <c r="M1169">
        <v>18900</v>
      </c>
      <c r="N1169" t="s">
        <v>18</v>
      </c>
    </row>
    <row r="1170" spans="5:14" x14ac:dyDescent="0.35">
      <c r="E1170" t="s">
        <v>58</v>
      </c>
      <c r="F1170" t="s">
        <v>44</v>
      </c>
      <c r="G1170" t="s">
        <v>42</v>
      </c>
      <c r="H1170" t="s">
        <v>13</v>
      </c>
      <c r="I1170" t="s">
        <v>14</v>
      </c>
      <c r="J1170" t="s">
        <v>15</v>
      </c>
      <c r="K1170">
        <v>13609</v>
      </c>
      <c r="L1170">
        <v>10</v>
      </c>
      <c r="M1170">
        <v>136090</v>
      </c>
      <c r="N1170" t="s">
        <v>18</v>
      </c>
    </row>
    <row r="1171" spans="5:14" x14ac:dyDescent="0.35">
      <c r="E1171" t="s">
        <v>58</v>
      </c>
      <c r="F1171" t="s">
        <v>44</v>
      </c>
      <c r="G1171" t="s">
        <v>42</v>
      </c>
      <c r="H1171" t="s">
        <v>13</v>
      </c>
      <c r="I1171" t="s">
        <v>14</v>
      </c>
      <c r="J1171" t="s">
        <v>17</v>
      </c>
      <c r="K1171">
        <v>14047</v>
      </c>
      <c r="L1171">
        <v>20</v>
      </c>
      <c r="M1171">
        <v>280940</v>
      </c>
      <c r="N1171" t="s">
        <v>18</v>
      </c>
    </row>
    <row r="1172" spans="5:14" x14ac:dyDescent="0.35">
      <c r="E1172" t="s">
        <v>58</v>
      </c>
      <c r="F1172" t="s">
        <v>44</v>
      </c>
      <c r="G1172" t="s">
        <v>42</v>
      </c>
      <c r="H1172" t="s">
        <v>13</v>
      </c>
      <c r="I1172" t="s">
        <v>14</v>
      </c>
      <c r="J1172" t="s">
        <v>19</v>
      </c>
      <c r="K1172">
        <v>8061</v>
      </c>
      <c r="L1172">
        <v>30</v>
      </c>
      <c r="M1172">
        <v>241830</v>
      </c>
      <c r="N1172" t="s">
        <v>18</v>
      </c>
    </row>
    <row r="1173" spans="5:14" x14ac:dyDescent="0.35">
      <c r="E1173" t="s">
        <v>58</v>
      </c>
      <c r="F1173" t="s">
        <v>44</v>
      </c>
      <c r="G1173" t="s">
        <v>42</v>
      </c>
      <c r="H1173" t="s">
        <v>13</v>
      </c>
      <c r="I1173" t="s">
        <v>14</v>
      </c>
      <c r="J1173" t="s">
        <v>20</v>
      </c>
      <c r="K1173">
        <v>10630</v>
      </c>
      <c r="L1173">
        <v>15</v>
      </c>
      <c r="M1173">
        <v>159450</v>
      </c>
      <c r="N1173" t="s">
        <v>18</v>
      </c>
    </row>
    <row r="1174" spans="5:14" x14ac:dyDescent="0.35">
      <c r="E1174" t="s">
        <v>58</v>
      </c>
      <c r="F1174" t="s">
        <v>44</v>
      </c>
      <c r="G1174" t="s">
        <v>42</v>
      </c>
      <c r="H1174" t="s">
        <v>22</v>
      </c>
      <c r="I1174" t="s">
        <v>23</v>
      </c>
      <c r="J1174" t="s">
        <v>24</v>
      </c>
      <c r="K1174">
        <v>9661</v>
      </c>
      <c r="L1174">
        <v>2</v>
      </c>
      <c r="M1174">
        <v>19322</v>
      </c>
      <c r="N1174" t="s">
        <v>21</v>
      </c>
    </row>
    <row r="1175" spans="5:14" x14ac:dyDescent="0.35">
      <c r="E1175" t="s">
        <v>58</v>
      </c>
      <c r="F1175" t="s">
        <v>44</v>
      </c>
      <c r="G1175" t="s">
        <v>42</v>
      </c>
      <c r="H1175" t="s">
        <v>22</v>
      </c>
      <c r="I1175" t="s">
        <v>23</v>
      </c>
      <c r="J1175" t="s">
        <v>25</v>
      </c>
      <c r="K1175">
        <v>11713</v>
      </c>
      <c r="L1175">
        <v>2</v>
      </c>
      <c r="M1175">
        <v>23426</v>
      </c>
      <c r="N1175" t="s">
        <v>21</v>
      </c>
    </row>
    <row r="1176" spans="5:14" x14ac:dyDescent="0.35">
      <c r="E1176" t="s">
        <v>58</v>
      </c>
      <c r="F1176" t="s">
        <v>44</v>
      </c>
      <c r="G1176" t="s">
        <v>42</v>
      </c>
      <c r="H1176" t="s">
        <v>22</v>
      </c>
      <c r="I1176" t="s">
        <v>23</v>
      </c>
      <c r="J1176" t="s">
        <v>26</v>
      </c>
      <c r="K1176">
        <v>6213</v>
      </c>
      <c r="L1176">
        <v>5</v>
      </c>
      <c r="M1176">
        <v>31065</v>
      </c>
      <c r="N1176" t="s">
        <v>16</v>
      </c>
    </row>
    <row r="1177" spans="5:14" x14ac:dyDescent="0.35">
      <c r="E1177" t="s">
        <v>58</v>
      </c>
      <c r="F1177" t="s">
        <v>44</v>
      </c>
      <c r="G1177" t="s">
        <v>42</v>
      </c>
      <c r="H1177" t="s">
        <v>22</v>
      </c>
      <c r="I1177" t="s">
        <v>27</v>
      </c>
      <c r="J1177" t="s">
        <v>28</v>
      </c>
      <c r="K1177">
        <v>11323</v>
      </c>
      <c r="L1177">
        <v>3</v>
      </c>
      <c r="M1177">
        <v>33969</v>
      </c>
      <c r="N1177" t="s">
        <v>21</v>
      </c>
    </row>
    <row r="1178" spans="5:14" x14ac:dyDescent="0.35">
      <c r="E1178" t="s">
        <v>58</v>
      </c>
      <c r="F1178" t="s">
        <v>45</v>
      </c>
      <c r="G1178" t="s">
        <v>42</v>
      </c>
      <c r="H1178" t="s">
        <v>13</v>
      </c>
      <c r="I1178" t="s">
        <v>14</v>
      </c>
      <c r="J1178" t="s">
        <v>15</v>
      </c>
      <c r="K1178">
        <v>6723</v>
      </c>
      <c r="L1178">
        <v>10</v>
      </c>
      <c r="M1178">
        <v>67230</v>
      </c>
      <c r="N1178" t="s">
        <v>16</v>
      </c>
    </row>
    <row r="1179" spans="5:14" x14ac:dyDescent="0.35">
      <c r="E1179" t="s">
        <v>58</v>
      </c>
      <c r="F1179" t="s">
        <v>45</v>
      </c>
      <c r="G1179" t="s">
        <v>42</v>
      </c>
      <c r="H1179" t="s">
        <v>13</v>
      </c>
      <c r="I1179" t="s">
        <v>14</v>
      </c>
      <c r="J1179" t="s">
        <v>17</v>
      </c>
      <c r="K1179">
        <v>5050</v>
      </c>
      <c r="L1179">
        <v>20</v>
      </c>
      <c r="M1179">
        <v>101000</v>
      </c>
      <c r="N1179" t="s">
        <v>16</v>
      </c>
    </row>
    <row r="1180" spans="5:14" x14ac:dyDescent="0.35">
      <c r="E1180" t="s">
        <v>58</v>
      </c>
      <c r="F1180" t="s">
        <v>45</v>
      </c>
      <c r="G1180" t="s">
        <v>42</v>
      </c>
      <c r="H1180" t="s">
        <v>13</v>
      </c>
      <c r="I1180" t="s">
        <v>14</v>
      </c>
      <c r="J1180" t="s">
        <v>19</v>
      </c>
      <c r="K1180">
        <v>14025</v>
      </c>
      <c r="L1180">
        <v>30</v>
      </c>
      <c r="M1180">
        <v>420750</v>
      </c>
      <c r="N1180" t="s">
        <v>18</v>
      </c>
    </row>
    <row r="1181" spans="5:14" x14ac:dyDescent="0.35">
      <c r="E1181" t="s">
        <v>58</v>
      </c>
      <c r="F1181" t="s">
        <v>45</v>
      </c>
      <c r="G1181" t="s">
        <v>42</v>
      </c>
      <c r="H1181" t="s">
        <v>13</v>
      </c>
      <c r="I1181" t="s">
        <v>14</v>
      </c>
      <c r="J1181" t="s">
        <v>20</v>
      </c>
      <c r="K1181">
        <v>14604</v>
      </c>
      <c r="L1181">
        <v>15</v>
      </c>
      <c r="M1181">
        <v>219060</v>
      </c>
      <c r="N1181" t="s">
        <v>18</v>
      </c>
    </row>
    <row r="1182" spans="5:14" x14ac:dyDescent="0.35">
      <c r="E1182" t="s">
        <v>58</v>
      </c>
      <c r="F1182" t="s">
        <v>45</v>
      </c>
      <c r="G1182" t="s">
        <v>42</v>
      </c>
      <c r="H1182" t="s">
        <v>22</v>
      </c>
      <c r="I1182" t="s">
        <v>23</v>
      </c>
      <c r="J1182" t="s">
        <v>24</v>
      </c>
      <c r="K1182">
        <v>14994</v>
      </c>
      <c r="L1182">
        <v>2</v>
      </c>
      <c r="M1182">
        <v>29988</v>
      </c>
      <c r="N1182" t="s">
        <v>21</v>
      </c>
    </row>
    <row r="1183" spans="5:14" x14ac:dyDescent="0.35">
      <c r="E1183" t="s">
        <v>58</v>
      </c>
      <c r="F1183" t="s">
        <v>45</v>
      </c>
      <c r="G1183" t="s">
        <v>42</v>
      </c>
      <c r="H1183" t="s">
        <v>22</v>
      </c>
      <c r="I1183" t="s">
        <v>23</v>
      </c>
      <c r="J1183" t="s">
        <v>25</v>
      </c>
      <c r="K1183">
        <v>10729</v>
      </c>
      <c r="L1183">
        <v>2</v>
      </c>
      <c r="M1183">
        <v>21458</v>
      </c>
      <c r="N1183" t="s">
        <v>18</v>
      </c>
    </row>
    <row r="1184" spans="5:14" x14ac:dyDescent="0.35">
      <c r="E1184" t="s">
        <v>58</v>
      </c>
      <c r="F1184" t="s">
        <v>45</v>
      </c>
      <c r="G1184" t="s">
        <v>42</v>
      </c>
      <c r="H1184" t="s">
        <v>22</v>
      </c>
      <c r="I1184" t="s">
        <v>23</v>
      </c>
      <c r="J1184" t="s">
        <v>26</v>
      </c>
      <c r="K1184">
        <v>8283</v>
      </c>
      <c r="L1184">
        <v>5</v>
      </c>
      <c r="M1184">
        <v>41415</v>
      </c>
      <c r="N1184" t="s">
        <v>18</v>
      </c>
    </row>
    <row r="1185" spans="5:14" x14ac:dyDescent="0.35">
      <c r="E1185" t="s">
        <v>58</v>
      </c>
      <c r="F1185" t="s">
        <v>45</v>
      </c>
      <c r="G1185" t="s">
        <v>42</v>
      </c>
      <c r="H1185" t="s">
        <v>22</v>
      </c>
      <c r="I1185" t="s">
        <v>27</v>
      </c>
      <c r="J1185" t="s">
        <v>28</v>
      </c>
      <c r="K1185">
        <v>11234</v>
      </c>
      <c r="L1185">
        <v>3</v>
      </c>
      <c r="M1185">
        <v>33702</v>
      </c>
      <c r="N1185" t="s">
        <v>18</v>
      </c>
    </row>
    <row r="1186" spans="5:14" x14ac:dyDescent="0.35">
      <c r="E1186" t="s">
        <v>58</v>
      </c>
      <c r="F1186" t="s">
        <v>46</v>
      </c>
      <c r="G1186" t="s">
        <v>42</v>
      </c>
      <c r="H1186" t="s">
        <v>13</v>
      </c>
      <c r="I1186" t="s">
        <v>14</v>
      </c>
      <c r="J1186" t="s">
        <v>15</v>
      </c>
      <c r="K1186">
        <v>6865</v>
      </c>
      <c r="L1186">
        <v>10</v>
      </c>
      <c r="M1186">
        <v>68650</v>
      </c>
      <c r="N1186" t="s">
        <v>18</v>
      </c>
    </row>
    <row r="1187" spans="5:14" x14ac:dyDescent="0.35">
      <c r="E1187" t="s">
        <v>58</v>
      </c>
      <c r="F1187" t="s">
        <v>46</v>
      </c>
      <c r="G1187" t="s">
        <v>42</v>
      </c>
      <c r="H1187" t="s">
        <v>13</v>
      </c>
      <c r="I1187" t="s">
        <v>14</v>
      </c>
      <c r="J1187" t="s">
        <v>17</v>
      </c>
      <c r="K1187">
        <v>14621</v>
      </c>
      <c r="L1187">
        <v>20</v>
      </c>
      <c r="M1187">
        <v>292420</v>
      </c>
      <c r="N1187" t="s">
        <v>16</v>
      </c>
    </row>
    <row r="1188" spans="5:14" x14ac:dyDescent="0.35">
      <c r="E1188" t="s">
        <v>58</v>
      </c>
      <c r="F1188" t="s">
        <v>46</v>
      </c>
      <c r="G1188" t="s">
        <v>42</v>
      </c>
      <c r="H1188" t="s">
        <v>13</v>
      </c>
      <c r="I1188" t="s">
        <v>14</v>
      </c>
      <c r="J1188" t="s">
        <v>19</v>
      </c>
      <c r="K1188">
        <v>13781</v>
      </c>
      <c r="L1188">
        <v>30</v>
      </c>
      <c r="M1188">
        <v>413430</v>
      </c>
      <c r="N1188" t="s">
        <v>18</v>
      </c>
    </row>
    <row r="1189" spans="5:14" x14ac:dyDescent="0.35">
      <c r="E1189" t="s">
        <v>58</v>
      </c>
      <c r="F1189" t="s">
        <v>46</v>
      </c>
      <c r="G1189" t="s">
        <v>42</v>
      </c>
      <c r="H1189" t="s">
        <v>13</v>
      </c>
      <c r="I1189" t="s">
        <v>14</v>
      </c>
      <c r="J1189" t="s">
        <v>20</v>
      </c>
      <c r="K1189">
        <v>11984</v>
      </c>
      <c r="L1189">
        <v>15</v>
      </c>
      <c r="M1189">
        <v>179760</v>
      </c>
      <c r="N1189" t="s">
        <v>21</v>
      </c>
    </row>
    <row r="1190" spans="5:14" x14ac:dyDescent="0.35">
      <c r="E1190" t="s">
        <v>58</v>
      </c>
      <c r="F1190" t="s">
        <v>46</v>
      </c>
      <c r="G1190" t="s">
        <v>42</v>
      </c>
      <c r="H1190" t="s">
        <v>22</v>
      </c>
      <c r="I1190" t="s">
        <v>23</v>
      </c>
      <c r="J1190" t="s">
        <v>24</v>
      </c>
      <c r="K1190">
        <v>8111</v>
      </c>
      <c r="L1190">
        <v>2</v>
      </c>
      <c r="M1190">
        <v>16222</v>
      </c>
      <c r="N1190" t="s">
        <v>18</v>
      </c>
    </row>
    <row r="1191" spans="5:14" x14ac:dyDescent="0.35">
      <c r="E1191" t="s">
        <v>58</v>
      </c>
      <c r="F1191" t="s">
        <v>46</v>
      </c>
      <c r="G1191" t="s">
        <v>42</v>
      </c>
      <c r="H1191" t="s">
        <v>22</v>
      </c>
      <c r="I1191" t="s">
        <v>23</v>
      </c>
      <c r="J1191" t="s">
        <v>25</v>
      </c>
      <c r="K1191">
        <v>12645</v>
      </c>
      <c r="L1191">
        <v>2</v>
      </c>
      <c r="M1191">
        <v>25290</v>
      </c>
      <c r="N1191" t="s">
        <v>16</v>
      </c>
    </row>
    <row r="1192" spans="5:14" x14ac:dyDescent="0.35">
      <c r="E1192" t="s">
        <v>58</v>
      </c>
      <c r="F1192" t="s">
        <v>46</v>
      </c>
      <c r="G1192" t="s">
        <v>42</v>
      </c>
      <c r="H1192" t="s">
        <v>22</v>
      </c>
      <c r="I1192" t="s">
        <v>23</v>
      </c>
      <c r="J1192" t="s">
        <v>26</v>
      </c>
      <c r="K1192">
        <v>11751</v>
      </c>
      <c r="L1192">
        <v>5</v>
      </c>
      <c r="M1192">
        <v>58755</v>
      </c>
      <c r="N1192" t="s">
        <v>21</v>
      </c>
    </row>
    <row r="1193" spans="5:14" x14ac:dyDescent="0.35">
      <c r="E1193" t="s">
        <v>58</v>
      </c>
      <c r="F1193" t="s">
        <v>46</v>
      </c>
      <c r="G1193" t="s">
        <v>42</v>
      </c>
      <c r="H1193" t="s">
        <v>22</v>
      </c>
      <c r="I1193" t="s">
        <v>27</v>
      </c>
      <c r="J1193" t="s">
        <v>28</v>
      </c>
      <c r="K1193">
        <v>14874</v>
      </c>
      <c r="L1193">
        <v>3</v>
      </c>
      <c r="M1193">
        <v>44622</v>
      </c>
      <c r="N1193" t="s">
        <v>21</v>
      </c>
    </row>
    <row r="1194" spans="5:14" x14ac:dyDescent="0.35">
      <c r="E1194" t="s">
        <v>58</v>
      </c>
      <c r="F1194" t="s">
        <v>47</v>
      </c>
      <c r="G1194" t="s">
        <v>48</v>
      </c>
      <c r="H1194" t="s">
        <v>13</v>
      </c>
      <c r="I1194" t="s">
        <v>14</v>
      </c>
      <c r="J1194" t="s">
        <v>15</v>
      </c>
      <c r="K1194">
        <v>6858</v>
      </c>
      <c r="L1194">
        <v>10</v>
      </c>
      <c r="M1194">
        <v>68580</v>
      </c>
      <c r="N1194" t="s">
        <v>16</v>
      </c>
    </row>
    <row r="1195" spans="5:14" x14ac:dyDescent="0.35">
      <c r="E1195" t="s">
        <v>58</v>
      </c>
      <c r="F1195" t="s">
        <v>47</v>
      </c>
      <c r="G1195" t="s">
        <v>48</v>
      </c>
      <c r="H1195" t="s">
        <v>13</v>
      </c>
      <c r="I1195" t="s">
        <v>14</v>
      </c>
      <c r="J1195" t="s">
        <v>17</v>
      </c>
      <c r="K1195">
        <v>10036</v>
      </c>
      <c r="L1195">
        <v>20</v>
      </c>
      <c r="M1195">
        <v>200720</v>
      </c>
      <c r="N1195" t="s">
        <v>21</v>
      </c>
    </row>
    <row r="1196" spans="5:14" x14ac:dyDescent="0.35">
      <c r="E1196" t="s">
        <v>58</v>
      </c>
      <c r="F1196" t="s">
        <v>47</v>
      </c>
      <c r="G1196" t="s">
        <v>48</v>
      </c>
      <c r="H1196" t="s">
        <v>13</v>
      </c>
      <c r="I1196" t="s">
        <v>14</v>
      </c>
      <c r="J1196" t="s">
        <v>19</v>
      </c>
      <c r="K1196">
        <v>9776</v>
      </c>
      <c r="L1196">
        <v>30</v>
      </c>
      <c r="M1196">
        <v>293280</v>
      </c>
      <c r="N1196" t="s">
        <v>16</v>
      </c>
    </row>
    <row r="1197" spans="5:14" x14ac:dyDescent="0.35">
      <c r="E1197" t="s">
        <v>58</v>
      </c>
      <c r="F1197" t="s">
        <v>47</v>
      </c>
      <c r="G1197" t="s">
        <v>48</v>
      </c>
      <c r="H1197" t="s">
        <v>13</v>
      </c>
      <c r="I1197" t="s">
        <v>14</v>
      </c>
      <c r="J1197" t="s">
        <v>20</v>
      </c>
      <c r="K1197">
        <v>13339</v>
      </c>
      <c r="L1197">
        <v>15</v>
      </c>
      <c r="M1197">
        <v>200085</v>
      </c>
      <c r="N1197" t="s">
        <v>21</v>
      </c>
    </row>
    <row r="1198" spans="5:14" x14ac:dyDescent="0.35">
      <c r="E1198" t="s">
        <v>58</v>
      </c>
      <c r="F1198" t="s">
        <v>47</v>
      </c>
      <c r="G1198" t="s">
        <v>48</v>
      </c>
      <c r="H1198" t="s">
        <v>22</v>
      </c>
      <c r="I1198" t="s">
        <v>23</v>
      </c>
      <c r="J1198" t="s">
        <v>24</v>
      </c>
      <c r="K1198">
        <v>11065</v>
      </c>
      <c r="L1198">
        <v>2</v>
      </c>
      <c r="M1198">
        <v>22130</v>
      </c>
      <c r="N1198" t="s">
        <v>21</v>
      </c>
    </row>
    <row r="1199" spans="5:14" x14ac:dyDescent="0.35">
      <c r="E1199" t="s">
        <v>58</v>
      </c>
      <c r="F1199" t="s">
        <v>47</v>
      </c>
      <c r="G1199" t="s">
        <v>48</v>
      </c>
      <c r="H1199" t="s">
        <v>22</v>
      </c>
      <c r="I1199" t="s">
        <v>23</v>
      </c>
      <c r="J1199" t="s">
        <v>25</v>
      </c>
      <c r="K1199">
        <v>14389</v>
      </c>
      <c r="L1199">
        <v>2</v>
      </c>
      <c r="M1199">
        <v>28778</v>
      </c>
      <c r="N1199" t="s">
        <v>16</v>
      </c>
    </row>
    <row r="1200" spans="5:14" x14ac:dyDescent="0.35">
      <c r="E1200" t="s">
        <v>58</v>
      </c>
      <c r="F1200" t="s">
        <v>47</v>
      </c>
      <c r="G1200" t="s">
        <v>48</v>
      </c>
      <c r="H1200" t="s">
        <v>22</v>
      </c>
      <c r="I1200" t="s">
        <v>23</v>
      </c>
      <c r="J1200" t="s">
        <v>26</v>
      </c>
      <c r="K1200">
        <v>8288</v>
      </c>
      <c r="L1200">
        <v>5</v>
      </c>
      <c r="M1200">
        <v>41440</v>
      </c>
      <c r="N1200" t="s">
        <v>16</v>
      </c>
    </row>
    <row r="1201" spans="5:14" x14ac:dyDescent="0.35">
      <c r="E1201" t="s">
        <v>58</v>
      </c>
      <c r="F1201" t="s">
        <v>47</v>
      </c>
      <c r="G1201" t="s">
        <v>48</v>
      </c>
      <c r="H1201" t="s">
        <v>22</v>
      </c>
      <c r="I1201" t="s">
        <v>27</v>
      </c>
      <c r="J1201" t="s">
        <v>28</v>
      </c>
      <c r="K1201">
        <v>13901</v>
      </c>
      <c r="L1201">
        <v>3</v>
      </c>
      <c r="M1201">
        <v>41703</v>
      </c>
      <c r="N1201" t="s">
        <v>16</v>
      </c>
    </row>
    <row r="1202" spans="5:14" x14ac:dyDescent="0.35">
      <c r="E1202" t="s">
        <v>58</v>
      </c>
      <c r="F1202" t="s">
        <v>49</v>
      </c>
      <c r="G1202" t="s">
        <v>48</v>
      </c>
      <c r="H1202" t="s">
        <v>13</v>
      </c>
      <c r="I1202" t="s">
        <v>14</v>
      </c>
      <c r="J1202" t="s">
        <v>15</v>
      </c>
      <c r="K1202">
        <v>9795</v>
      </c>
      <c r="L1202">
        <v>10</v>
      </c>
      <c r="M1202">
        <v>97950</v>
      </c>
      <c r="N1202" t="s">
        <v>21</v>
      </c>
    </row>
    <row r="1203" spans="5:14" x14ac:dyDescent="0.35">
      <c r="E1203" t="s">
        <v>58</v>
      </c>
      <c r="F1203" t="s">
        <v>49</v>
      </c>
      <c r="G1203" t="s">
        <v>48</v>
      </c>
      <c r="H1203" t="s">
        <v>13</v>
      </c>
      <c r="I1203" t="s">
        <v>14</v>
      </c>
      <c r="J1203" t="s">
        <v>17</v>
      </c>
      <c r="K1203">
        <v>14173</v>
      </c>
      <c r="L1203">
        <v>20</v>
      </c>
      <c r="M1203">
        <v>283460</v>
      </c>
      <c r="N1203" t="s">
        <v>16</v>
      </c>
    </row>
    <row r="1204" spans="5:14" x14ac:dyDescent="0.35">
      <c r="E1204" t="s">
        <v>58</v>
      </c>
      <c r="F1204" t="s">
        <v>49</v>
      </c>
      <c r="G1204" t="s">
        <v>48</v>
      </c>
      <c r="H1204" t="s">
        <v>13</v>
      </c>
      <c r="I1204" t="s">
        <v>14</v>
      </c>
      <c r="J1204" t="s">
        <v>19</v>
      </c>
      <c r="K1204">
        <v>5879</v>
      </c>
      <c r="L1204">
        <v>30</v>
      </c>
      <c r="M1204">
        <v>176370</v>
      </c>
      <c r="N1204" t="s">
        <v>18</v>
      </c>
    </row>
    <row r="1205" spans="5:14" x14ac:dyDescent="0.35">
      <c r="E1205" t="s">
        <v>58</v>
      </c>
      <c r="F1205" t="s">
        <v>49</v>
      </c>
      <c r="G1205" t="s">
        <v>48</v>
      </c>
      <c r="H1205" t="s">
        <v>13</v>
      </c>
      <c r="I1205" t="s">
        <v>14</v>
      </c>
      <c r="J1205" t="s">
        <v>20</v>
      </c>
      <c r="K1205">
        <v>5917</v>
      </c>
      <c r="L1205">
        <v>15</v>
      </c>
      <c r="M1205">
        <v>88755</v>
      </c>
      <c r="N1205" t="s">
        <v>21</v>
      </c>
    </row>
    <row r="1206" spans="5:14" x14ac:dyDescent="0.35">
      <c r="E1206" t="s">
        <v>58</v>
      </c>
      <c r="F1206" t="s">
        <v>49</v>
      </c>
      <c r="G1206" t="s">
        <v>48</v>
      </c>
      <c r="H1206" t="s">
        <v>22</v>
      </c>
      <c r="I1206" t="s">
        <v>23</v>
      </c>
      <c r="J1206" t="s">
        <v>24</v>
      </c>
      <c r="K1206">
        <v>10753</v>
      </c>
      <c r="L1206">
        <v>2</v>
      </c>
      <c r="M1206">
        <v>21506</v>
      </c>
      <c r="N1206" t="s">
        <v>16</v>
      </c>
    </row>
    <row r="1207" spans="5:14" x14ac:dyDescent="0.35">
      <c r="E1207" t="s">
        <v>58</v>
      </c>
      <c r="F1207" t="s">
        <v>49</v>
      </c>
      <c r="G1207" t="s">
        <v>48</v>
      </c>
      <c r="H1207" t="s">
        <v>22</v>
      </c>
      <c r="I1207" t="s">
        <v>23</v>
      </c>
      <c r="J1207" t="s">
        <v>25</v>
      </c>
      <c r="K1207">
        <v>5921</v>
      </c>
      <c r="L1207">
        <v>2</v>
      </c>
      <c r="M1207">
        <v>11842</v>
      </c>
      <c r="N1207" t="s">
        <v>21</v>
      </c>
    </row>
    <row r="1208" spans="5:14" x14ac:dyDescent="0.35">
      <c r="E1208" t="s">
        <v>58</v>
      </c>
      <c r="F1208" t="s">
        <v>49</v>
      </c>
      <c r="G1208" t="s">
        <v>48</v>
      </c>
      <c r="H1208" t="s">
        <v>22</v>
      </c>
      <c r="I1208" t="s">
        <v>23</v>
      </c>
      <c r="J1208" t="s">
        <v>26</v>
      </c>
      <c r="K1208">
        <v>8995</v>
      </c>
      <c r="L1208">
        <v>5</v>
      </c>
      <c r="M1208">
        <v>44975</v>
      </c>
      <c r="N1208" t="s">
        <v>18</v>
      </c>
    </row>
    <row r="1209" spans="5:14" x14ac:dyDescent="0.35">
      <c r="E1209" t="s">
        <v>58</v>
      </c>
      <c r="F1209" t="s">
        <v>49</v>
      </c>
      <c r="G1209" t="s">
        <v>48</v>
      </c>
      <c r="H1209" t="s">
        <v>22</v>
      </c>
      <c r="I1209" t="s">
        <v>27</v>
      </c>
      <c r="J1209" t="s">
        <v>28</v>
      </c>
      <c r="K1209">
        <v>14333</v>
      </c>
      <c r="L1209">
        <v>3</v>
      </c>
      <c r="M1209">
        <v>42999</v>
      </c>
      <c r="N1209" t="s">
        <v>21</v>
      </c>
    </row>
    <row r="1210" spans="5:14" x14ac:dyDescent="0.35">
      <c r="E1210" t="s">
        <v>58</v>
      </c>
      <c r="F1210" t="s">
        <v>50</v>
      </c>
      <c r="G1210" t="s">
        <v>48</v>
      </c>
      <c r="H1210" t="s">
        <v>13</v>
      </c>
      <c r="I1210" t="s">
        <v>14</v>
      </c>
      <c r="J1210" t="s">
        <v>15</v>
      </c>
      <c r="K1210">
        <v>13042</v>
      </c>
      <c r="L1210">
        <v>10</v>
      </c>
      <c r="M1210">
        <v>130420</v>
      </c>
      <c r="N1210" t="s">
        <v>18</v>
      </c>
    </row>
    <row r="1211" spans="5:14" x14ac:dyDescent="0.35">
      <c r="E1211" t="s">
        <v>58</v>
      </c>
      <c r="F1211" t="s">
        <v>50</v>
      </c>
      <c r="G1211" t="s">
        <v>48</v>
      </c>
      <c r="H1211" t="s">
        <v>13</v>
      </c>
      <c r="I1211" t="s">
        <v>14</v>
      </c>
      <c r="J1211" t="s">
        <v>17</v>
      </c>
      <c r="K1211">
        <v>11260</v>
      </c>
      <c r="L1211">
        <v>20</v>
      </c>
      <c r="M1211">
        <v>225200</v>
      </c>
      <c r="N1211" t="s">
        <v>18</v>
      </c>
    </row>
    <row r="1212" spans="5:14" x14ac:dyDescent="0.35">
      <c r="E1212" t="s">
        <v>58</v>
      </c>
      <c r="F1212" t="s">
        <v>50</v>
      </c>
      <c r="G1212" t="s">
        <v>48</v>
      </c>
      <c r="H1212" t="s">
        <v>13</v>
      </c>
      <c r="I1212" t="s">
        <v>14</v>
      </c>
      <c r="J1212" t="s">
        <v>19</v>
      </c>
      <c r="K1212">
        <v>14941</v>
      </c>
      <c r="L1212">
        <v>30</v>
      </c>
      <c r="M1212">
        <v>448230</v>
      </c>
      <c r="N1212" t="s">
        <v>18</v>
      </c>
    </row>
    <row r="1213" spans="5:14" x14ac:dyDescent="0.35">
      <c r="E1213" t="s">
        <v>58</v>
      </c>
      <c r="F1213" t="s">
        <v>50</v>
      </c>
      <c r="G1213" t="s">
        <v>48</v>
      </c>
      <c r="H1213" t="s">
        <v>13</v>
      </c>
      <c r="I1213" t="s">
        <v>14</v>
      </c>
      <c r="J1213" t="s">
        <v>20</v>
      </c>
      <c r="K1213">
        <v>14121</v>
      </c>
      <c r="L1213">
        <v>15</v>
      </c>
      <c r="M1213">
        <v>211815</v>
      </c>
      <c r="N1213" t="s">
        <v>16</v>
      </c>
    </row>
    <row r="1214" spans="5:14" x14ac:dyDescent="0.35">
      <c r="E1214" t="s">
        <v>58</v>
      </c>
      <c r="F1214" t="s">
        <v>50</v>
      </c>
      <c r="G1214" t="s">
        <v>48</v>
      </c>
      <c r="H1214" t="s">
        <v>22</v>
      </c>
      <c r="I1214" t="s">
        <v>23</v>
      </c>
      <c r="J1214" t="s">
        <v>24</v>
      </c>
      <c r="K1214">
        <v>12351</v>
      </c>
      <c r="L1214">
        <v>2</v>
      </c>
      <c r="M1214">
        <v>24702</v>
      </c>
      <c r="N1214" t="s">
        <v>16</v>
      </c>
    </row>
    <row r="1215" spans="5:14" x14ac:dyDescent="0.35">
      <c r="E1215" t="s">
        <v>58</v>
      </c>
      <c r="F1215" t="s">
        <v>50</v>
      </c>
      <c r="G1215" t="s">
        <v>48</v>
      </c>
      <c r="H1215" t="s">
        <v>22</v>
      </c>
      <c r="I1215" t="s">
        <v>23</v>
      </c>
      <c r="J1215" t="s">
        <v>25</v>
      </c>
      <c r="K1215">
        <v>10909</v>
      </c>
      <c r="L1215">
        <v>2</v>
      </c>
      <c r="M1215">
        <v>21818</v>
      </c>
      <c r="N1215" t="s">
        <v>21</v>
      </c>
    </row>
    <row r="1216" spans="5:14" x14ac:dyDescent="0.35">
      <c r="E1216" t="s">
        <v>58</v>
      </c>
      <c r="F1216" t="s">
        <v>50</v>
      </c>
      <c r="G1216" t="s">
        <v>48</v>
      </c>
      <c r="H1216" t="s">
        <v>22</v>
      </c>
      <c r="I1216" t="s">
        <v>23</v>
      </c>
      <c r="J1216" t="s">
        <v>26</v>
      </c>
      <c r="K1216">
        <v>12142</v>
      </c>
      <c r="L1216">
        <v>5</v>
      </c>
      <c r="M1216">
        <v>60710</v>
      </c>
      <c r="N1216" t="s">
        <v>16</v>
      </c>
    </row>
    <row r="1217" spans="5:14" x14ac:dyDescent="0.35">
      <c r="E1217" t="s">
        <v>58</v>
      </c>
      <c r="F1217" t="s">
        <v>50</v>
      </c>
      <c r="G1217" t="s">
        <v>48</v>
      </c>
      <c r="H1217" t="s">
        <v>22</v>
      </c>
      <c r="I1217" t="s">
        <v>27</v>
      </c>
      <c r="J1217" t="s">
        <v>28</v>
      </c>
      <c r="K1217">
        <v>8332</v>
      </c>
      <c r="L1217">
        <v>3</v>
      </c>
      <c r="M1217">
        <v>24996</v>
      </c>
      <c r="N1217" t="s">
        <v>18</v>
      </c>
    </row>
    <row r="1218" spans="5:14" x14ac:dyDescent="0.35">
      <c r="E1218" t="s">
        <v>58</v>
      </c>
      <c r="F1218" t="s">
        <v>51</v>
      </c>
      <c r="G1218" t="s">
        <v>48</v>
      </c>
      <c r="H1218" t="s">
        <v>13</v>
      </c>
      <c r="I1218" t="s">
        <v>14</v>
      </c>
      <c r="J1218" t="s">
        <v>15</v>
      </c>
      <c r="K1218">
        <v>7268</v>
      </c>
      <c r="L1218">
        <v>10</v>
      </c>
      <c r="M1218">
        <v>72680</v>
      </c>
      <c r="N1218" t="s">
        <v>18</v>
      </c>
    </row>
    <row r="1219" spans="5:14" x14ac:dyDescent="0.35">
      <c r="E1219" t="s">
        <v>58</v>
      </c>
      <c r="F1219" t="s">
        <v>51</v>
      </c>
      <c r="G1219" t="s">
        <v>48</v>
      </c>
      <c r="H1219" t="s">
        <v>13</v>
      </c>
      <c r="I1219" t="s">
        <v>14</v>
      </c>
      <c r="J1219" t="s">
        <v>17</v>
      </c>
      <c r="K1219">
        <v>7279</v>
      </c>
      <c r="L1219">
        <v>20</v>
      </c>
      <c r="M1219">
        <v>145580</v>
      </c>
      <c r="N1219" t="s">
        <v>16</v>
      </c>
    </row>
    <row r="1220" spans="5:14" x14ac:dyDescent="0.35">
      <c r="E1220" t="s">
        <v>58</v>
      </c>
      <c r="F1220" t="s">
        <v>51</v>
      </c>
      <c r="G1220" t="s">
        <v>48</v>
      </c>
      <c r="H1220" t="s">
        <v>13</v>
      </c>
      <c r="I1220" t="s">
        <v>14</v>
      </c>
      <c r="J1220" t="s">
        <v>19</v>
      </c>
      <c r="K1220">
        <v>8316</v>
      </c>
      <c r="L1220">
        <v>30</v>
      </c>
      <c r="M1220">
        <v>249480</v>
      </c>
      <c r="N1220" t="s">
        <v>16</v>
      </c>
    </row>
    <row r="1221" spans="5:14" x14ac:dyDescent="0.35">
      <c r="E1221" t="s">
        <v>58</v>
      </c>
      <c r="F1221" t="s">
        <v>51</v>
      </c>
      <c r="G1221" t="s">
        <v>48</v>
      </c>
      <c r="H1221" t="s">
        <v>13</v>
      </c>
      <c r="I1221" t="s">
        <v>14</v>
      </c>
      <c r="J1221" t="s">
        <v>20</v>
      </c>
      <c r="K1221">
        <v>6804</v>
      </c>
      <c r="L1221">
        <v>15</v>
      </c>
      <c r="M1221">
        <v>102060</v>
      </c>
      <c r="N1221" t="s">
        <v>16</v>
      </c>
    </row>
    <row r="1222" spans="5:14" x14ac:dyDescent="0.35">
      <c r="E1222" t="s">
        <v>58</v>
      </c>
      <c r="F1222" t="s">
        <v>51</v>
      </c>
      <c r="G1222" t="s">
        <v>48</v>
      </c>
      <c r="H1222" t="s">
        <v>22</v>
      </c>
      <c r="I1222" t="s">
        <v>23</v>
      </c>
      <c r="J1222" t="s">
        <v>24</v>
      </c>
      <c r="K1222">
        <v>14089</v>
      </c>
      <c r="L1222">
        <v>2</v>
      </c>
      <c r="M1222">
        <v>28178</v>
      </c>
      <c r="N1222" t="s">
        <v>21</v>
      </c>
    </row>
    <row r="1223" spans="5:14" x14ac:dyDescent="0.35">
      <c r="E1223" t="s">
        <v>58</v>
      </c>
      <c r="F1223" t="s">
        <v>51</v>
      </c>
      <c r="G1223" t="s">
        <v>48</v>
      </c>
      <c r="H1223" t="s">
        <v>22</v>
      </c>
      <c r="I1223" t="s">
        <v>23</v>
      </c>
      <c r="J1223" t="s">
        <v>25</v>
      </c>
      <c r="K1223">
        <v>7087</v>
      </c>
      <c r="L1223">
        <v>2</v>
      </c>
      <c r="M1223">
        <v>14174</v>
      </c>
      <c r="N1223" t="s">
        <v>18</v>
      </c>
    </row>
    <row r="1224" spans="5:14" x14ac:dyDescent="0.35">
      <c r="E1224" t="s">
        <v>58</v>
      </c>
      <c r="F1224" t="s">
        <v>51</v>
      </c>
      <c r="G1224" t="s">
        <v>48</v>
      </c>
      <c r="H1224" t="s">
        <v>22</v>
      </c>
      <c r="I1224" t="s">
        <v>23</v>
      </c>
      <c r="J1224" t="s">
        <v>26</v>
      </c>
      <c r="K1224">
        <v>14412</v>
      </c>
      <c r="L1224">
        <v>5</v>
      </c>
      <c r="M1224">
        <v>72060</v>
      </c>
      <c r="N1224" t="s">
        <v>18</v>
      </c>
    </row>
    <row r="1225" spans="5:14" x14ac:dyDescent="0.35">
      <c r="E1225" t="s">
        <v>58</v>
      </c>
      <c r="F1225" t="s">
        <v>51</v>
      </c>
      <c r="G1225" t="s">
        <v>48</v>
      </c>
      <c r="H1225" t="s">
        <v>22</v>
      </c>
      <c r="I1225" t="s">
        <v>27</v>
      </c>
      <c r="J1225" t="s">
        <v>28</v>
      </c>
      <c r="K1225">
        <v>10930</v>
      </c>
      <c r="L1225">
        <v>3</v>
      </c>
      <c r="M1225">
        <v>32790</v>
      </c>
      <c r="N1225" t="s">
        <v>16</v>
      </c>
    </row>
    <row r="1226" spans="5:14" x14ac:dyDescent="0.35">
      <c r="E1226" t="s">
        <v>58</v>
      </c>
      <c r="F1226" t="s">
        <v>52</v>
      </c>
      <c r="G1226" t="s">
        <v>48</v>
      </c>
      <c r="H1226" t="s">
        <v>13</v>
      </c>
      <c r="I1226" t="s">
        <v>14</v>
      </c>
      <c r="J1226" t="s">
        <v>15</v>
      </c>
      <c r="K1226">
        <v>10247</v>
      </c>
      <c r="L1226">
        <v>10</v>
      </c>
      <c r="M1226">
        <v>102470</v>
      </c>
      <c r="N1226" t="s">
        <v>18</v>
      </c>
    </row>
    <row r="1227" spans="5:14" x14ac:dyDescent="0.35">
      <c r="E1227" t="s">
        <v>58</v>
      </c>
      <c r="F1227" t="s">
        <v>52</v>
      </c>
      <c r="G1227" t="s">
        <v>48</v>
      </c>
      <c r="H1227" t="s">
        <v>13</v>
      </c>
      <c r="I1227" t="s">
        <v>14</v>
      </c>
      <c r="J1227" t="s">
        <v>17</v>
      </c>
      <c r="K1227">
        <v>12880</v>
      </c>
      <c r="L1227">
        <v>20</v>
      </c>
      <c r="M1227">
        <v>257600</v>
      </c>
      <c r="N1227" t="s">
        <v>18</v>
      </c>
    </row>
    <row r="1228" spans="5:14" x14ac:dyDescent="0.35">
      <c r="E1228" t="s">
        <v>58</v>
      </c>
      <c r="F1228" t="s">
        <v>52</v>
      </c>
      <c r="G1228" t="s">
        <v>48</v>
      </c>
      <c r="H1228" t="s">
        <v>13</v>
      </c>
      <c r="I1228" t="s">
        <v>14</v>
      </c>
      <c r="J1228" t="s">
        <v>19</v>
      </c>
      <c r="K1228">
        <v>6112</v>
      </c>
      <c r="L1228">
        <v>30</v>
      </c>
      <c r="M1228">
        <v>183360</v>
      </c>
      <c r="N1228" t="s">
        <v>21</v>
      </c>
    </row>
    <row r="1229" spans="5:14" x14ac:dyDescent="0.35">
      <c r="E1229" t="s">
        <v>58</v>
      </c>
      <c r="F1229" t="s">
        <v>52</v>
      </c>
      <c r="G1229" t="s">
        <v>48</v>
      </c>
      <c r="H1229" t="s">
        <v>13</v>
      </c>
      <c r="I1229" t="s">
        <v>14</v>
      </c>
      <c r="J1229" t="s">
        <v>20</v>
      </c>
      <c r="K1229">
        <v>7901</v>
      </c>
      <c r="L1229">
        <v>15</v>
      </c>
      <c r="M1229">
        <v>118515</v>
      </c>
      <c r="N1229" t="s">
        <v>18</v>
      </c>
    </row>
    <row r="1230" spans="5:14" x14ac:dyDescent="0.35">
      <c r="E1230" t="s">
        <v>58</v>
      </c>
      <c r="F1230" t="s">
        <v>52</v>
      </c>
      <c r="G1230" t="s">
        <v>48</v>
      </c>
      <c r="H1230" t="s">
        <v>22</v>
      </c>
      <c r="I1230" t="s">
        <v>23</v>
      </c>
      <c r="J1230" t="s">
        <v>24</v>
      </c>
      <c r="K1230">
        <v>8053</v>
      </c>
      <c r="L1230">
        <v>2</v>
      </c>
      <c r="M1230">
        <v>16106</v>
      </c>
      <c r="N1230" t="s">
        <v>16</v>
      </c>
    </row>
    <row r="1231" spans="5:14" x14ac:dyDescent="0.35">
      <c r="E1231" t="s">
        <v>58</v>
      </c>
      <c r="F1231" t="s">
        <v>52</v>
      </c>
      <c r="G1231" t="s">
        <v>48</v>
      </c>
      <c r="H1231" t="s">
        <v>22</v>
      </c>
      <c r="I1231" t="s">
        <v>23</v>
      </c>
      <c r="J1231" t="s">
        <v>25</v>
      </c>
      <c r="K1231">
        <v>12571</v>
      </c>
      <c r="L1231">
        <v>2</v>
      </c>
      <c r="M1231">
        <v>25142</v>
      </c>
      <c r="N1231" t="s">
        <v>21</v>
      </c>
    </row>
    <row r="1232" spans="5:14" x14ac:dyDescent="0.35">
      <c r="E1232" t="s">
        <v>58</v>
      </c>
      <c r="F1232" t="s">
        <v>52</v>
      </c>
      <c r="G1232" t="s">
        <v>48</v>
      </c>
      <c r="H1232" t="s">
        <v>22</v>
      </c>
      <c r="I1232" t="s">
        <v>23</v>
      </c>
      <c r="J1232" t="s">
        <v>26</v>
      </c>
      <c r="K1232">
        <v>9967</v>
      </c>
      <c r="L1232">
        <v>5</v>
      </c>
      <c r="M1232">
        <v>49835</v>
      </c>
      <c r="N1232" t="s">
        <v>21</v>
      </c>
    </row>
    <row r="1233" spans="5:14" x14ac:dyDescent="0.35">
      <c r="E1233" t="s">
        <v>58</v>
      </c>
      <c r="F1233" t="s">
        <v>52</v>
      </c>
      <c r="G1233" t="s">
        <v>48</v>
      </c>
      <c r="H1233" t="s">
        <v>22</v>
      </c>
      <c r="I1233" t="s">
        <v>27</v>
      </c>
      <c r="J1233" t="s">
        <v>28</v>
      </c>
      <c r="K1233">
        <v>5596</v>
      </c>
      <c r="L1233">
        <v>3</v>
      </c>
      <c r="M1233">
        <v>16788</v>
      </c>
      <c r="N1233" t="s">
        <v>21</v>
      </c>
    </row>
    <row r="1234" spans="5:14" x14ac:dyDescent="0.35">
      <c r="E1234" t="s">
        <v>59</v>
      </c>
      <c r="F1234" t="s">
        <v>11</v>
      </c>
      <c r="G1234" t="s">
        <v>12</v>
      </c>
      <c r="H1234" t="s">
        <v>13</v>
      </c>
      <c r="I1234" t="s">
        <v>14</v>
      </c>
      <c r="J1234" t="s">
        <v>15</v>
      </c>
      <c r="K1234">
        <v>9515</v>
      </c>
      <c r="L1234">
        <v>10</v>
      </c>
      <c r="M1234">
        <v>95150</v>
      </c>
      <c r="N1234" t="s">
        <v>21</v>
      </c>
    </row>
    <row r="1235" spans="5:14" x14ac:dyDescent="0.35">
      <c r="E1235" t="s">
        <v>59</v>
      </c>
      <c r="F1235" t="s">
        <v>11</v>
      </c>
      <c r="G1235" t="s">
        <v>12</v>
      </c>
      <c r="H1235" t="s">
        <v>13</v>
      </c>
      <c r="I1235" t="s">
        <v>14</v>
      </c>
      <c r="J1235" t="s">
        <v>17</v>
      </c>
      <c r="K1235">
        <v>11749</v>
      </c>
      <c r="L1235">
        <v>20</v>
      </c>
      <c r="M1235">
        <v>234980</v>
      </c>
      <c r="N1235" t="s">
        <v>16</v>
      </c>
    </row>
    <row r="1236" spans="5:14" x14ac:dyDescent="0.35">
      <c r="E1236" t="s">
        <v>59</v>
      </c>
      <c r="F1236" t="s">
        <v>11</v>
      </c>
      <c r="G1236" t="s">
        <v>12</v>
      </c>
      <c r="H1236" t="s">
        <v>13</v>
      </c>
      <c r="I1236" t="s">
        <v>14</v>
      </c>
      <c r="J1236" t="s">
        <v>19</v>
      </c>
      <c r="K1236">
        <v>13381</v>
      </c>
      <c r="L1236">
        <v>30</v>
      </c>
      <c r="M1236">
        <v>401430</v>
      </c>
      <c r="N1236" t="s">
        <v>21</v>
      </c>
    </row>
    <row r="1237" spans="5:14" x14ac:dyDescent="0.35">
      <c r="E1237" t="s">
        <v>59</v>
      </c>
      <c r="F1237" t="s">
        <v>11</v>
      </c>
      <c r="G1237" t="s">
        <v>12</v>
      </c>
      <c r="H1237" t="s">
        <v>13</v>
      </c>
      <c r="I1237" t="s">
        <v>14</v>
      </c>
      <c r="J1237" t="s">
        <v>20</v>
      </c>
      <c r="K1237">
        <v>14517</v>
      </c>
      <c r="L1237">
        <v>15</v>
      </c>
      <c r="M1237">
        <v>217755</v>
      </c>
      <c r="N1237" t="s">
        <v>18</v>
      </c>
    </row>
    <row r="1238" spans="5:14" x14ac:dyDescent="0.35">
      <c r="E1238" t="s">
        <v>59</v>
      </c>
      <c r="F1238" t="s">
        <v>11</v>
      </c>
      <c r="G1238" t="s">
        <v>12</v>
      </c>
      <c r="H1238" t="s">
        <v>22</v>
      </c>
      <c r="I1238" t="s">
        <v>23</v>
      </c>
      <c r="J1238" t="s">
        <v>24</v>
      </c>
      <c r="K1238">
        <v>12531</v>
      </c>
      <c r="L1238">
        <v>2</v>
      </c>
      <c r="M1238">
        <v>25062</v>
      </c>
      <c r="N1238" t="s">
        <v>16</v>
      </c>
    </row>
    <row r="1239" spans="5:14" x14ac:dyDescent="0.35">
      <c r="E1239" t="s">
        <v>59</v>
      </c>
      <c r="F1239" t="s">
        <v>11</v>
      </c>
      <c r="G1239" t="s">
        <v>12</v>
      </c>
      <c r="H1239" t="s">
        <v>22</v>
      </c>
      <c r="I1239" t="s">
        <v>23</v>
      </c>
      <c r="J1239" t="s">
        <v>25</v>
      </c>
      <c r="K1239">
        <v>9824</v>
      </c>
      <c r="L1239">
        <v>2</v>
      </c>
      <c r="M1239">
        <v>19648</v>
      </c>
      <c r="N1239" t="s">
        <v>16</v>
      </c>
    </row>
    <row r="1240" spans="5:14" x14ac:dyDescent="0.35">
      <c r="E1240" t="s">
        <v>59</v>
      </c>
      <c r="F1240" t="s">
        <v>11</v>
      </c>
      <c r="G1240" t="s">
        <v>12</v>
      </c>
      <c r="H1240" t="s">
        <v>22</v>
      </c>
      <c r="I1240" t="s">
        <v>23</v>
      </c>
      <c r="J1240" t="s">
        <v>26</v>
      </c>
      <c r="K1240">
        <v>6834</v>
      </c>
      <c r="L1240">
        <v>5</v>
      </c>
      <c r="M1240">
        <v>34170</v>
      </c>
      <c r="N1240" t="s">
        <v>18</v>
      </c>
    </row>
    <row r="1241" spans="5:14" x14ac:dyDescent="0.35">
      <c r="E1241" t="s">
        <v>59</v>
      </c>
      <c r="F1241" t="s">
        <v>11</v>
      </c>
      <c r="G1241" t="s">
        <v>12</v>
      </c>
      <c r="H1241" t="s">
        <v>22</v>
      </c>
      <c r="I1241" t="s">
        <v>27</v>
      </c>
      <c r="J1241" t="s">
        <v>28</v>
      </c>
      <c r="K1241">
        <v>12702</v>
      </c>
      <c r="L1241">
        <v>3</v>
      </c>
      <c r="M1241">
        <v>38106</v>
      </c>
      <c r="N1241" t="s">
        <v>21</v>
      </c>
    </row>
    <row r="1242" spans="5:14" x14ac:dyDescent="0.35">
      <c r="E1242" t="s">
        <v>59</v>
      </c>
      <c r="F1242" t="s">
        <v>29</v>
      </c>
      <c r="G1242" t="s">
        <v>12</v>
      </c>
      <c r="H1242" t="s">
        <v>13</v>
      </c>
      <c r="I1242" t="s">
        <v>14</v>
      </c>
      <c r="J1242" t="s">
        <v>15</v>
      </c>
      <c r="K1242">
        <v>11922</v>
      </c>
      <c r="L1242">
        <v>10</v>
      </c>
      <c r="M1242">
        <v>119220</v>
      </c>
      <c r="N1242" t="s">
        <v>18</v>
      </c>
    </row>
    <row r="1243" spans="5:14" x14ac:dyDescent="0.35">
      <c r="E1243" t="s">
        <v>59</v>
      </c>
      <c r="F1243" t="s">
        <v>29</v>
      </c>
      <c r="G1243" t="s">
        <v>12</v>
      </c>
      <c r="H1243" t="s">
        <v>13</v>
      </c>
      <c r="I1243" t="s">
        <v>14</v>
      </c>
      <c r="J1243" t="s">
        <v>17</v>
      </c>
      <c r="K1243">
        <v>6338</v>
      </c>
      <c r="L1243">
        <v>20</v>
      </c>
      <c r="M1243">
        <v>126760</v>
      </c>
      <c r="N1243" t="s">
        <v>16</v>
      </c>
    </row>
    <row r="1244" spans="5:14" x14ac:dyDescent="0.35">
      <c r="E1244" t="s">
        <v>59</v>
      </c>
      <c r="F1244" t="s">
        <v>29</v>
      </c>
      <c r="G1244" t="s">
        <v>12</v>
      </c>
      <c r="H1244" t="s">
        <v>13</v>
      </c>
      <c r="I1244" t="s">
        <v>14</v>
      </c>
      <c r="J1244" t="s">
        <v>19</v>
      </c>
      <c r="K1244">
        <v>10746</v>
      </c>
      <c r="L1244">
        <v>30</v>
      </c>
      <c r="M1244">
        <v>322380</v>
      </c>
      <c r="N1244" t="s">
        <v>16</v>
      </c>
    </row>
    <row r="1245" spans="5:14" x14ac:dyDescent="0.35">
      <c r="E1245" t="s">
        <v>59</v>
      </c>
      <c r="F1245" t="s">
        <v>29</v>
      </c>
      <c r="G1245" t="s">
        <v>12</v>
      </c>
      <c r="H1245" t="s">
        <v>13</v>
      </c>
      <c r="I1245" t="s">
        <v>14</v>
      </c>
      <c r="J1245" t="s">
        <v>20</v>
      </c>
      <c r="K1245">
        <v>11535</v>
      </c>
      <c r="L1245">
        <v>15</v>
      </c>
      <c r="M1245">
        <v>173025</v>
      </c>
      <c r="N1245" t="s">
        <v>21</v>
      </c>
    </row>
    <row r="1246" spans="5:14" x14ac:dyDescent="0.35">
      <c r="E1246" t="s">
        <v>59</v>
      </c>
      <c r="F1246" t="s">
        <v>29</v>
      </c>
      <c r="G1246" t="s">
        <v>12</v>
      </c>
      <c r="H1246" t="s">
        <v>22</v>
      </c>
      <c r="I1246" t="s">
        <v>23</v>
      </c>
      <c r="J1246" t="s">
        <v>24</v>
      </c>
      <c r="K1246">
        <v>14892</v>
      </c>
      <c r="L1246">
        <v>2</v>
      </c>
      <c r="M1246">
        <v>29784</v>
      </c>
      <c r="N1246" t="s">
        <v>18</v>
      </c>
    </row>
    <row r="1247" spans="5:14" x14ac:dyDescent="0.35">
      <c r="E1247" t="s">
        <v>59</v>
      </c>
      <c r="F1247" t="s">
        <v>29</v>
      </c>
      <c r="G1247" t="s">
        <v>12</v>
      </c>
      <c r="H1247" t="s">
        <v>22</v>
      </c>
      <c r="I1247" t="s">
        <v>23</v>
      </c>
      <c r="J1247" t="s">
        <v>25</v>
      </c>
      <c r="K1247">
        <v>9386</v>
      </c>
      <c r="L1247">
        <v>2</v>
      </c>
      <c r="M1247">
        <v>18772</v>
      </c>
      <c r="N1247" t="s">
        <v>16</v>
      </c>
    </row>
    <row r="1248" spans="5:14" x14ac:dyDescent="0.35">
      <c r="E1248" t="s">
        <v>59</v>
      </c>
      <c r="F1248" t="s">
        <v>29</v>
      </c>
      <c r="G1248" t="s">
        <v>12</v>
      </c>
      <c r="H1248" t="s">
        <v>22</v>
      </c>
      <c r="I1248" t="s">
        <v>23</v>
      </c>
      <c r="J1248" t="s">
        <v>26</v>
      </c>
      <c r="K1248">
        <v>8103</v>
      </c>
      <c r="L1248">
        <v>5</v>
      </c>
      <c r="M1248">
        <v>40515</v>
      </c>
      <c r="N1248" t="s">
        <v>18</v>
      </c>
    </row>
    <row r="1249" spans="5:14" x14ac:dyDescent="0.35">
      <c r="E1249" t="s">
        <v>59</v>
      </c>
      <c r="F1249" t="s">
        <v>29</v>
      </c>
      <c r="G1249" t="s">
        <v>12</v>
      </c>
      <c r="H1249" t="s">
        <v>22</v>
      </c>
      <c r="I1249" t="s">
        <v>27</v>
      </c>
      <c r="J1249" t="s">
        <v>28</v>
      </c>
      <c r="K1249">
        <v>6363</v>
      </c>
      <c r="L1249">
        <v>3</v>
      </c>
      <c r="M1249">
        <v>19089</v>
      </c>
      <c r="N1249" t="s">
        <v>18</v>
      </c>
    </row>
    <row r="1250" spans="5:14" x14ac:dyDescent="0.35">
      <c r="E1250" t="s">
        <v>59</v>
      </c>
      <c r="F1250" t="s">
        <v>30</v>
      </c>
      <c r="G1250" t="s">
        <v>12</v>
      </c>
      <c r="H1250" t="s">
        <v>13</v>
      </c>
      <c r="I1250" t="s">
        <v>14</v>
      </c>
      <c r="J1250" t="s">
        <v>15</v>
      </c>
      <c r="K1250">
        <v>13156</v>
      </c>
      <c r="L1250">
        <v>10</v>
      </c>
      <c r="M1250">
        <v>131560</v>
      </c>
      <c r="N1250" t="s">
        <v>16</v>
      </c>
    </row>
    <row r="1251" spans="5:14" x14ac:dyDescent="0.35">
      <c r="E1251" t="s">
        <v>59</v>
      </c>
      <c r="F1251" t="s">
        <v>30</v>
      </c>
      <c r="G1251" t="s">
        <v>12</v>
      </c>
      <c r="H1251" t="s">
        <v>13</v>
      </c>
      <c r="I1251" t="s">
        <v>14</v>
      </c>
      <c r="J1251" t="s">
        <v>17</v>
      </c>
      <c r="K1251">
        <v>12463</v>
      </c>
      <c r="L1251">
        <v>20</v>
      </c>
      <c r="M1251">
        <v>249260</v>
      </c>
      <c r="N1251" t="s">
        <v>21</v>
      </c>
    </row>
    <row r="1252" spans="5:14" x14ac:dyDescent="0.35">
      <c r="E1252" t="s">
        <v>59</v>
      </c>
      <c r="F1252" t="s">
        <v>30</v>
      </c>
      <c r="G1252" t="s">
        <v>12</v>
      </c>
      <c r="H1252" t="s">
        <v>13</v>
      </c>
      <c r="I1252" t="s">
        <v>14</v>
      </c>
      <c r="J1252" t="s">
        <v>19</v>
      </c>
      <c r="K1252">
        <v>5509</v>
      </c>
      <c r="L1252">
        <v>30</v>
      </c>
      <c r="M1252">
        <v>165270</v>
      </c>
      <c r="N1252" t="s">
        <v>16</v>
      </c>
    </row>
    <row r="1253" spans="5:14" x14ac:dyDescent="0.35">
      <c r="E1253" t="s">
        <v>59</v>
      </c>
      <c r="F1253" t="s">
        <v>30</v>
      </c>
      <c r="G1253" t="s">
        <v>12</v>
      </c>
      <c r="H1253" t="s">
        <v>13</v>
      </c>
      <c r="I1253" t="s">
        <v>14</v>
      </c>
      <c r="J1253" t="s">
        <v>20</v>
      </c>
      <c r="K1253">
        <v>11382</v>
      </c>
      <c r="L1253">
        <v>15</v>
      </c>
      <c r="M1253">
        <v>170730</v>
      </c>
      <c r="N1253" t="s">
        <v>18</v>
      </c>
    </row>
    <row r="1254" spans="5:14" x14ac:dyDescent="0.35">
      <c r="E1254" t="s">
        <v>59</v>
      </c>
      <c r="F1254" t="s">
        <v>30</v>
      </c>
      <c r="G1254" t="s">
        <v>12</v>
      </c>
      <c r="H1254" t="s">
        <v>22</v>
      </c>
      <c r="I1254" t="s">
        <v>23</v>
      </c>
      <c r="J1254" t="s">
        <v>24</v>
      </c>
      <c r="K1254">
        <v>5877</v>
      </c>
      <c r="L1254">
        <v>2</v>
      </c>
      <c r="M1254">
        <v>11754</v>
      </c>
      <c r="N1254" t="s">
        <v>18</v>
      </c>
    </row>
    <row r="1255" spans="5:14" x14ac:dyDescent="0.35">
      <c r="E1255" t="s">
        <v>59</v>
      </c>
      <c r="F1255" t="s">
        <v>30</v>
      </c>
      <c r="G1255" t="s">
        <v>12</v>
      </c>
      <c r="H1255" t="s">
        <v>22</v>
      </c>
      <c r="I1255" t="s">
        <v>23</v>
      </c>
      <c r="J1255" t="s">
        <v>25</v>
      </c>
      <c r="K1255">
        <v>11679</v>
      </c>
      <c r="L1255">
        <v>2</v>
      </c>
      <c r="M1255">
        <v>23358</v>
      </c>
      <c r="N1255" t="s">
        <v>21</v>
      </c>
    </row>
    <row r="1256" spans="5:14" x14ac:dyDescent="0.35">
      <c r="E1256" t="s">
        <v>59</v>
      </c>
      <c r="F1256" t="s">
        <v>30</v>
      </c>
      <c r="G1256" t="s">
        <v>12</v>
      </c>
      <c r="H1256" t="s">
        <v>22</v>
      </c>
      <c r="I1256" t="s">
        <v>23</v>
      </c>
      <c r="J1256" t="s">
        <v>26</v>
      </c>
      <c r="K1256">
        <v>9536</v>
      </c>
      <c r="L1256">
        <v>5</v>
      </c>
      <c r="M1256">
        <v>47680</v>
      </c>
      <c r="N1256" t="s">
        <v>21</v>
      </c>
    </row>
    <row r="1257" spans="5:14" x14ac:dyDescent="0.35">
      <c r="E1257" t="s">
        <v>59</v>
      </c>
      <c r="F1257" t="s">
        <v>30</v>
      </c>
      <c r="G1257" t="s">
        <v>12</v>
      </c>
      <c r="H1257" t="s">
        <v>22</v>
      </c>
      <c r="I1257" t="s">
        <v>27</v>
      </c>
      <c r="J1257" t="s">
        <v>28</v>
      </c>
      <c r="K1257">
        <v>9507</v>
      </c>
      <c r="L1257">
        <v>3</v>
      </c>
      <c r="M1257">
        <v>28521</v>
      </c>
      <c r="N1257" t="s">
        <v>18</v>
      </c>
    </row>
    <row r="1258" spans="5:14" x14ac:dyDescent="0.35">
      <c r="E1258" t="s">
        <v>59</v>
      </c>
      <c r="F1258" t="s">
        <v>31</v>
      </c>
      <c r="G1258" t="s">
        <v>12</v>
      </c>
      <c r="H1258" t="s">
        <v>13</v>
      </c>
      <c r="I1258" t="s">
        <v>14</v>
      </c>
      <c r="J1258" t="s">
        <v>15</v>
      </c>
      <c r="K1258">
        <v>11163</v>
      </c>
      <c r="L1258">
        <v>10</v>
      </c>
      <c r="M1258">
        <v>111630</v>
      </c>
      <c r="N1258" t="s">
        <v>21</v>
      </c>
    </row>
    <row r="1259" spans="5:14" x14ac:dyDescent="0.35">
      <c r="E1259" t="s">
        <v>59</v>
      </c>
      <c r="F1259" t="s">
        <v>31</v>
      </c>
      <c r="G1259" t="s">
        <v>12</v>
      </c>
      <c r="H1259" t="s">
        <v>13</v>
      </c>
      <c r="I1259" t="s">
        <v>14</v>
      </c>
      <c r="J1259" t="s">
        <v>17</v>
      </c>
      <c r="K1259">
        <v>12992</v>
      </c>
      <c r="L1259">
        <v>20</v>
      </c>
      <c r="M1259">
        <v>259840</v>
      </c>
      <c r="N1259" t="s">
        <v>16</v>
      </c>
    </row>
    <row r="1260" spans="5:14" x14ac:dyDescent="0.35">
      <c r="E1260" t="s">
        <v>59</v>
      </c>
      <c r="F1260" t="s">
        <v>31</v>
      </c>
      <c r="G1260" t="s">
        <v>12</v>
      </c>
      <c r="H1260" t="s">
        <v>13</v>
      </c>
      <c r="I1260" t="s">
        <v>14</v>
      </c>
      <c r="J1260" t="s">
        <v>19</v>
      </c>
      <c r="K1260">
        <v>11110</v>
      </c>
      <c r="L1260">
        <v>30</v>
      </c>
      <c r="M1260">
        <v>333300</v>
      </c>
      <c r="N1260" t="s">
        <v>16</v>
      </c>
    </row>
    <row r="1261" spans="5:14" x14ac:dyDescent="0.35">
      <c r="E1261" t="s">
        <v>59</v>
      </c>
      <c r="F1261" t="s">
        <v>31</v>
      </c>
      <c r="G1261" t="s">
        <v>12</v>
      </c>
      <c r="H1261" t="s">
        <v>13</v>
      </c>
      <c r="I1261" t="s">
        <v>14</v>
      </c>
      <c r="J1261" t="s">
        <v>20</v>
      </c>
      <c r="K1261">
        <v>6440</v>
      </c>
      <c r="L1261">
        <v>15</v>
      </c>
      <c r="M1261">
        <v>96600</v>
      </c>
      <c r="N1261" t="s">
        <v>21</v>
      </c>
    </row>
    <row r="1262" spans="5:14" x14ac:dyDescent="0.35">
      <c r="E1262" t="s">
        <v>59</v>
      </c>
      <c r="F1262" t="s">
        <v>31</v>
      </c>
      <c r="G1262" t="s">
        <v>12</v>
      </c>
      <c r="H1262" t="s">
        <v>22</v>
      </c>
      <c r="I1262" t="s">
        <v>23</v>
      </c>
      <c r="J1262" t="s">
        <v>24</v>
      </c>
      <c r="K1262">
        <v>14141</v>
      </c>
      <c r="L1262">
        <v>2</v>
      </c>
      <c r="M1262">
        <v>28282</v>
      </c>
      <c r="N1262" t="s">
        <v>16</v>
      </c>
    </row>
    <row r="1263" spans="5:14" x14ac:dyDescent="0.35">
      <c r="E1263" t="s">
        <v>59</v>
      </c>
      <c r="F1263" t="s">
        <v>31</v>
      </c>
      <c r="G1263" t="s">
        <v>12</v>
      </c>
      <c r="H1263" t="s">
        <v>22</v>
      </c>
      <c r="I1263" t="s">
        <v>23</v>
      </c>
      <c r="J1263" t="s">
        <v>25</v>
      </c>
      <c r="K1263">
        <v>6085</v>
      </c>
      <c r="L1263">
        <v>2</v>
      </c>
      <c r="M1263">
        <v>12170</v>
      </c>
      <c r="N1263" t="s">
        <v>18</v>
      </c>
    </row>
    <row r="1264" spans="5:14" x14ac:dyDescent="0.35">
      <c r="E1264" t="s">
        <v>59</v>
      </c>
      <c r="F1264" t="s">
        <v>31</v>
      </c>
      <c r="G1264" t="s">
        <v>12</v>
      </c>
      <c r="H1264" t="s">
        <v>22</v>
      </c>
      <c r="I1264" t="s">
        <v>23</v>
      </c>
      <c r="J1264" t="s">
        <v>26</v>
      </c>
      <c r="K1264">
        <v>8784</v>
      </c>
      <c r="L1264">
        <v>5</v>
      </c>
      <c r="M1264">
        <v>43920</v>
      </c>
      <c r="N1264" t="s">
        <v>18</v>
      </c>
    </row>
    <row r="1265" spans="5:14" x14ac:dyDescent="0.35">
      <c r="E1265" t="s">
        <v>59</v>
      </c>
      <c r="F1265" t="s">
        <v>31</v>
      </c>
      <c r="G1265" t="s">
        <v>12</v>
      </c>
      <c r="H1265" t="s">
        <v>22</v>
      </c>
      <c r="I1265" t="s">
        <v>27</v>
      </c>
      <c r="J1265" t="s">
        <v>28</v>
      </c>
      <c r="K1265">
        <v>12550</v>
      </c>
      <c r="L1265">
        <v>3</v>
      </c>
      <c r="M1265">
        <v>37650</v>
      </c>
      <c r="N1265" t="s">
        <v>16</v>
      </c>
    </row>
    <row r="1266" spans="5:14" x14ac:dyDescent="0.35">
      <c r="E1266" t="s">
        <v>59</v>
      </c>
      <c r="F1266" t="s">
        <v>32</v>
      </c>
      <c r="G1266" t="s">
        <v>12</v>
      </c>
      <c r="H1266" t="s">
        <v>13</v>
      </c>
      <c r="I1266" t="s">
        <v>14</v>
      </c>
      <c r="J1266" t="s">
        <v>15</v>
      </c>
      <c r="K1266">
        <v>13045</v>
      </c>
      <c r="L1266">
        <v>10</v>
      </c>
      <c r="M1266">
        <v>130450</v>
      </c>
      <c r="N1266" t="s">
        <v>18</v>
      </c>
    </row>
    <row r="1267" spans="5:14" x14ac:dyDescent="0.35">
      <c r="E1267" t="s">
        <v>59</v>
      </c>
      <c r="F1267" t="s">
        <v>32</v>
      </c>
      <c r="G1267" t="s">
        <v>12</v>
      </c>
      <c r="H1267" t="s">
        <v>13</v>
      </c>
      <c r="I1267" t="s">
        <v>14</v>
      </c>
      <c r="J1267" t="s">
        <v>17</v>
      </c>
      <c r="K1267">
        <v>11400</v>
      </c>
      <c r="L1267">
        <v>20</v>
      </c>
      <c r="M1267">
        <v>228000</v>
      </c>
      <c r="N1267" t="s">
        <v>18</v>
      </c>
    </row>
    <row r="1268" spans="5:14" x14ac:dyDescent="0.35">
      <c r="E1268" t="s">
        <v>59</v>
      </c>
      <c r="F1268" t="s">
        <v>32</v>
      </c>
      <c r="G1268" t="s">
        <v>12</v>
      </c>
      <c r="H1268" t="s">
        <v>13</v>
      </c>
      <c r="I1268" t="s">
        <v>14</v>
      </c>
      <c r="J1268" t="s">
        <v>19</v>
      </c>
      <c r="K1268">
        <v>13226</v>
      </c>
      <c r="L1268">
        <v>30</v>
      </c>
      <c r="M1268">
        <v>396780</v>
      </c>
      <c r="N1268" t="s">
        <v>16</v>
      </c>
    </row>
    <row r="1269" spans="5:14" x14ac:dyDescent="0.35">
      <c r="E1269" t="s">
        <v>59</v>
      </c>
      <c r="F1269" t="s">
        <v>32</v>
      </c>
      <c r="G1269" t="s">
        <v>12</v>
      </c>
      <c r="H1269" t="s">
        <v>13</v>
      </c>
      <c r="I1269" t="s">
        <v>14</v>
      </c>
      <c r="J1269" t="s">
        <v>20</v>
      </c>
      <c r="K1269">
        <v>8036</v>
      </c>
      <c r="L1269">
        <v>15</v>
      </c>
      <c r="M1269">
        <v>120540</v>
      </c>
      <c r="N1269" t="s">
        <v>18</v>
      </c>
    </row>
    <row r="1270" spans="5:14" x14ac:dyDescent="0.35">
      <c r="E1270" t="s">
        <v>59</v>
      </c>
      <c r="F1270" t="s">
        <v>32</v>
      </c>
      <c r="G1270" t="s">
        <v>12</v>
      </c>
      <c r="H1270" t="s">
        <v>22</v>
      </c>
      <c r="I1270" t="s">
        <v>23</v>
      </c>
      <c r="J1270" t="s">
        <v>24</v>
      </c>
      <c r="K1270">
        <v>14053</v>
      </c>
      <c r="L1270">
        <v>2</v>
      </c>
      <c r="M1270">
        <v>28106</v>
      </c>
      <c r="N1270" t="s">
        <v>18</v>
      </c>
    </row>
    <row r="1271" spans="5:14" x14ac:dyDescent="0.35">
      <c r="E1271" t="s">
        <v>59</v>
      </c>
      <c r="F1271" t="s">
        <v>32</v>
      </c>
      <c r="G1271" t="s">
        <v>12</v>
      </c>
      <c r="H1271" t="s">
        <v>22</v>
      </c>
      <c r="I1271" t="s">
        <v>23</v>
      </c>
      <c r="J1271" t="s">
        <v>25</v>
      </c>
      <c r="K1271">
        <v>6314</v>
      </c>
      <c r="L1271">
        <v>2</v>
      </c>
      <c r="M1271">
        <v>12628</v>
      </c>
      <c r="N1271" t="s">
        <v>18</v>
      </c>
    </row>
    <row r="1272" spans="5:14" x14ac:dyDescent="0.35">
      <c r="E1272" t="s">
        <v>59</v>
      </c>
      <c r="F1272" t="s">
        <v>32</v>
      </c>
      <c r="G1272" t="s">
        <v>12</v>
      </c>
      <c r="H1272" t="s">
        <v>22</v>
      </c>
      <c r="I1272" t="s">
        <v>23</v>
      </c>
      <c r="J1272" t="s">
        <v>26</v>
      </c>
      <c r="K1272">
        <v>6905</v>
      </c>
      <c r="L1272">
        <v>5</v>
      </c>
      <c r="M1272">
        <v>34525</v>
      </c>
      <c r="N1272" t="s">
        <v>16</v>
      </c>
    </row>
    <row r="1273" spans="5:14" x14ac:dyDescent="0.35">
      <c r="E1273" t="s">
        <v>59</v>
      </c>
      <c r="F1273" t="s">
        <v>32</v>
      </c>
      <c r="G1273" t="s">
        <v>12</v>
      </c>
      <c r="H1273" t="s">
        <v>22</v>
      </c>
      <c r="I1273" t="s">
        <v>27</v>
      </c>
      <c r="J1273" t="s">
        <v>28</v>
      </c>
      <c r="K1273">
        <v>6860</v>
      </c>
      <c r="L1273">
        <v>3</v>
      </c>
      <c r="M1273">
        <v>20580</v>
      </c>
      <c r="N1273" t="s">
        <v>16</v>
      </c>
    </row>
    <row r="1274" spans="5:14" x14ac:dyDescent="0.35">
      <c r="E1274" t="s">
        <v>59</v>
      </c>
      <c r="F1274" t="s">
        <v>33</v>
      </c>
      <c r="G1274" t="s">
        <v>12</v>
      </c>
      <c r="H1274" t="s">
        <v>13</v>
      </c>
      <c r="I1274" t="s">
        <v>14</v>
      </c>
      <c r="J1274" t="s">
        <v>15</v>
      </c>
      <c r="K1274">
        <v>7545</v>
      </c>
      <c r="L1274">
        <v>10</v>
      </c>
      <c r="M1274">
        <v>75450</v>
      </c>
      <c r="N1274" t="s">
        <v>18</v>
      </c>
    </row>
    <row r="1275" spans="5:14" x14ac:dyDescent="0.35">
      <c r="E1275" t="s">
        <v>59</v>
      </c>
      <c r="F1275" t="s">
        <v>33</v>
      </c>
      <c r="G1275" t="s">
        <v>12</v>
      </c>
      <c r="H1275" t="s">
        <v>13</v>
      </c>
      <c r="I1275" t="s">
        <v>14</v>
      </c>
      <c r="J1275" t="s">
        <v>17</v>
      </c>
      <c r="K1275">
        <v>8665</v>
      </c>
      <c r="L1275">
        <v>20</v>
      </c>
      <c r="M1275">
        <v>173300</v>
      </c>
      <c r="N1275" t="s">
        <v>18</v>
      </c>
    </row>
    <row r="1276" spans="5:14" x14ac:dyDescent="0.35">
      <c r="E1276" t="s">
        <v>59</v>
      </c>
      <c r="F1276" t="s">
        <v>33</v>
      </c>
      <c r="G1276" t="s">
        <v>12</v>
      </c>
      <c r="H1276" t="s">
        <v>13</v>
      </c>
      <c r="I1276" t="s">
        <v>14</v>
      </c>
      <c r="J1276" t="s">
        <v>19</v>
      </c>
      <c r="K1276">
        <v>14082</v>
      </c>
      <c r="L1276">
        <v>30</v>
      </c>
      <c r="M1276">
        <v>422460</v>
      </c>
      <c r="N1276" t="s">
        <v>16</v>
      </c>
    </row>
    <row r="1277" spans="5:14" x14ac:dyDescent="0.35">
      <c r="E1277" t="s">
        <v>59</v>
      </c>
      <c r="F1277" t="s">
        <v>33</v>
      </c>
      <c r="G1277" t="s">
        <v>12</v>
      </c>
      <c r="H1277" t="s">
        <v>13</v>
      </c>
      <c r="I1277" t="s">
        <v>14</v>
      </c>
      <c r="J1277" t="s">
        <v>20</v>
      </c>
      <c r="K1277">
        <v>14142</v>
      </c>
      <c r="L1277">
        <v>15</v>
      </c>
      <c r="M1277">
        <v>212130</v>
      </c>
      <c r="N1277" t="s">
        <v>18</v>
      </c>
    </row>
    <row r="1278" spans="5:14" x14ac:dyDescent="0.35">
      <c r="E1278" t="s">
        <v>59</v>
      </c>
      <c r="F1278" t="s">
        <v>33</v>
      </c>
      <c r="G1278" t="s">
        <v>12</v>
      </c>
      <c r="H1278" t="s">
        <v>22</v>
      </c>
      <c r="I1278" t="s">
        <v>23</v>
      </c>
      <c r="J1278" t="s">
        <v>24</v>
      </c>
      <c r="K1278">
        <v>6818</v>
      </c>
      <c r="L1278">
        <v>2</v>
      </c>
      <c r="M1278">
        <v>13636</v>
      </c>
      <c r="N1278" t="s">
        <v>18</v>
      </c>
    </row>
    <row r="1279" spans="5:14" x14ac:dyDescent="0.35">
      <c r="E1279" t="s">
        <v>59</v>
      </c>
      <c r="F1279" t="s">
        <v>33</v>
      </c>
      <c r="G1279" t="s">
        <v>12</v>
      </c>
      <c r="H1279" t="s">
        <v>22</v>
      </c>
      <c r="I1279" t="s">
        <v>23</v>
      </c>
      <c r="J1279" t="s">
        <v>25</v>
      </c>
      <c r="K1279">
        <v>9108</v>
      </c>
      <c r="L1279">
        <v>2</v>
      </c>
      <c r="M1279">
        <v>18216</v>
      </c>
      <c r="N1279" t="s">
        <v>21</v>
      </c>
    </row>
    <row r="1280" spans="5:14" x14ac:dyDescent="0.35">
      <c r="E1280" t="s">
        <v>59</v>
      </c>
      <c r="F1280" t="s">
        <v>33</v>
      </c>
      <c r="G1280" t="s">
        <v>12</v>
      </c>
      <c r="H1280" t="s">
        <v>22</v>
      </c>
      <c r="I1280" t="s">
        <v>23</v>
      </c>
      <c r="J1280" t="s">
        <v>26</v>
      </c>
      <c r="K1280">
        <v>11162</v>
      </c>
      <c r="L1280">
        <v>5</v>
      </c>
      <c r="M1280">
        <v>55810</v>
      </c>
      <c r="N1280" t="s">
        <v>16</v>
      </c>
    </row>
    <row r="1281" spans="5:14" x14ac:dyDescent="0.35">
      <c r="E1281" t="s">
        <v>59</v>
      </c>
      <c r="F1281" t="s">
        <v>33</v>
      </c>
      <c r="G1281" t="s">
        <v>12</v>
      </c>
      <c r="H1281" t="s">
        <v>22</v>
      </c>
      <c r="I1281" t="s">
        <v>27</v>
      </c>
      <c r="J1281" t="s">
        <v>28</v>
      </c>
      <c r="K1281">
        <v>14710</v>
      </c>
      <c r="L1281">
        <v>3</v>
      </c>
      <c r="M1281">
        <v>44130</v>
      </c>
      <c r="N1281" t="s">
        <v>21</v>
      </c>
    </row>
    <row r="1282" spans="5:14" x14ac:dyDescent="0.35">
      <c r="E1282" t="s">
        <v>59</v>
      </c>
      <c r="F1282" t="s">
        <v>34</v>
      </c>
      <c r="G1282" t="s">
        <v>12</v>
      </c>
      <c r="H1282" t="s">
        <v>13</v>
      </c>
      <c r="I1282" t="s">
        <v>14</v>
      </c>
      <c r="J1282" t="s">
        <v>15</v>
      </c>
      <c r="K1282">
        <v>10693</v>
      </c>
      <c r="L1282">
        <v>10</v>
      </c>
      <c r="M1282">
        <v>106930</v>
      </c>
      <c r="N1282" t="s">
        <v>16</v>
      </c>
    </row>
    <row r="1283" spans="5:14" x14ac:dyDescent="0.35">
      <c r="E1283" t="s">
        <v>59</v>
      </c>
      <c r="F1283" t="s">
        <v>34</v>
      </c>
      <c r="G1283" t="s">
        <v>12</v>
      </c>
      <c r="H1283" t="s">
        <v>13</v>
      </c>
      <c r="I1283" t="s">
        <v>14</v>
      </c>
      <c r="J1283" t="s">
        <v>17</v>
      </c>
      <c r="K1283">
        <v>7872</v>
      </c>
      <c r="L1283">
        <v>20</v>
      </c>
      <c r="M1283">
        <v>157440</v>
      </c>
      <c r="N1283" t="s">
        <v>21</v>
      </c>
    </row>
    <row r="1284" spans="5:14" x14ac:dyDescent="0.35">
      <c r="E1284" t="s">
        <v>59</v>
      </c>
      <c r="F1284" t="s">
        <v>34</v>
      </c>
      <c r="G1284" t="s">
        <v>12</v>
      </c>
      <c r="H1284" t="s">
        <v>13</v>
      </c>
      <c r="I1284" t="s">
        <v>14</v>
      </c>
      <c r="J1284" t="s">
        <v>19</v>
      </c>
      <c r="K1284">
        <v>14786</v>
      </c>
      <c r="L1284">
        <v>30</v>
      </c>
      <c r="M1284">
        <v>443580</v>
      </c>
      <c r="N1284" t="s">
        <v>16</v>
      </c>
    </row>
    <row r="1285" spans="5:14" x14ac:dyDescent="0.35">
      <c r="E1285" t="s">
        <v>59</v>
      </c>
      <c r="F1285" t="s">
        <v>34</v>
      </c>
      <c r="G1285" t="s">
        <v>12</v>
      </c>
      <c r="H1285" t="s">
        <v>13</v>
      </c>
      <c r="I1285" t="s">
        <v>14</v>
      </c>
      <c r="J1285" t="s">
        <v>20</v>
      </c>
      <c r="K1285">
        <v>13046</v>
      </c>
      <c r="L1285">
        <v>15</v>
      </c>
      <c r="M1285">
        <v>195690</v>
      </c>
      <c r="N1285" t="s">
        <v>21</v>
      </c>
    </row>
    <row r="1286" spans="5:14" x14ac:dyDescent="0.35">
      <c r="E1286" t="s">
        <v>59</v>
      </c>
      <c r="F1286" t="s">
        <v>34</v>
      </c>
      <c r="G1286" t="s">
        <v>12</v>
      </c>
      <c r="H1286" t="s">
        <v>22</v>
      </c>
      <c r="I1286" t="s">
        <v>23</v>
      </c>
      <c r="J1286" t="s">
        <v>24</v>
      </c>
      <c r="K1286">
        <v>13902</v>
      </c>
      <c r="L1286">
        <v>2</v>
      </c>
      <c r="M1286">
        <v>27804</v>
      </c>
      <c r="N1286" t="s">
        <v>16</v>
      </c>
    </row>
    <row r="1287" spans="5:14" x14ac:dyDescent="0.35">
      <c r="E1287" t="s">
        <v>59</v>
      </c>
      <c r="F1287" t="s">
        <v>34</v>
      </c>
      <c r="G1287" t="s">
        <v>12</v>
      </c>
      <c r="H1287" t="s">
        <v>22</v>
      </c>
      <c r="I1287" t="s">
        <v>23</v>
      </c>
      <c r="J1287" t="s">
        <v>25</v>
      </c>
      <c r="K1287">
        <v>14221</v>
      </c>
      <c r="L1287">
        <v>2</v>
      </c>
      <c r="M1287">
        <v>28442</v>
      </c>
      <c r="N1287" t="s">
        <v>18</v>
      </c>
    </row>
    <row r="1288" spans="5:14" x14ac:dyDescent="0.35">
      <c r="E1288" t="s">
        <v>59</v>
      </c>
      <c r="F1288" t="s">
        <v>34</v>
      </c>
      <c r="G1288" t="s">
        <v>12</v>
      </c>
      <c r="H1288" t="s">
        <v>22</v>
      </c>
      <c r="I1288" t="s">
        <v>23</v>
      </c>
      <c r="J1288" t="s">
        <v>26</v>
      </c>
      <c r="K1288">
        <v>14658</v>
      </c>
      <c r="L1288">
        <v>5</v>
      </c>
      <c r="M1288">
        <v>73290</v>
      </c>
      <c r="N1288" t="s">
        <v>16</v>
      </c>
    </row>
    <row r="1289" spans="5:14" x14ac:dyDescent="0.35">
      <c r="E1289" t="s">
        <v>59</v>
      </c>
      <c r="F1289" t="s">
        <v>34</v>
      </c>
      <c r="G1289" t="s">
        <v>12</v>
      </c>
      <c r="H1289" t="s">
        <v>22</v>
      </c>
      <c r="I1289" t="s">
        <v>27</v>
      </c>
      <c r="J1289" t="s">
        <v>28</v>
      </c>
      <c r="K1289">
        <v>6207</v>
      </c>
      <c r="L1289">
        <v>3</v>
      </c>
      <c r="M1289">
        <v>18621</v>
      </c>
      <c r="N1289" t="s">
        <v>21</v>
      </c>
    </row>
    <row r="1290" spans="5:14" x14ac:dyDescent="0.35">
      <c r="E1290" t="s">
        <v>59</v>
      </c>
      <c r="F1290" t="s">
        <v>35</v>
      </c>
      <c r="G1290" t="s">
        <v>36</v>
      </c>
      <c r="H1290" t="s">
        <v>13</v>
      </c>
      <c r="I1290" t="s">
        <v>14</v>
      </c>
      <c r="J1290" t="s">
        <v>15</v>
      </c>
      <c r="K1290">
        <v>12207</v>
      </c>
      <c r="L1290">
        <v>10</v>
      </c>
      <c r="M1290">
        <v>122070</v>
      </c>
      <c r="N1290" t="s">
        <v>21</v>
      </c>
    </row>
    <row r="1291" spans="5:14" x14ac:dyDescent="0.35">
      <c r="E1291" t="s">
        <v>59</v>
      </c>
      <c r="F1291" t="s">
        <v>35</v>
      </c>
      <c r="G1291" t="s">
        <v>36</v>
      </c>
      <c r="H1291" t="s">
        <v>13</v>
      </c>
      <c r="I1291" t="s">
        <v>14</v>
      </c>
      <c r="J1291" t="s">
        <v>17</v>
      </c>
      <c r="K1291">
        <v>5101</v>
      </c>
      <c r="L1291">
        <v>20</v>
      </c>
      <c r="M1291">
        <v>102020</v>
      </c>
      <c r="N1291" t="s">
        <v>21</v>
      </c>
    </row>
    <row r="1292" spans="5:14" x14ac:dyDescent="0.35">
      <c r="E1292" t="s">
        <v>59</v>
      </c>
      <c r="F1292" t="s">
        <v>35</v>
      </c>
      <c r="G1292" t="s">
        <v>36</v>
      </c>
      <c r="H1292" t="s">
        <v>13</v>
      </c>
      <c r="I1292" t="s">
        <v>14</v>
      </c>
      <c r="J1292" t="s">
        <v>19</v>
      </c>
      <c r="K1292">
        <v>8459</v>
      </c>
      <c r="L1292">
        <v>30</v>
      </c>
      <c r="M1292">
        <v>253770</v>
      </c>
      <c r="N1292" t="s">
        <v>16</v>
      </c>
    </row>
    <row r="1293" spans="5:14" x14ac:dyDescent="0.35">
      <c r="E1293" t="s">
        <v>59</v>
      </c>
      <c r="F1293" t="s">
        <v>35</v>
      </c>
      <c r="G1293" t="s">
        <v>36</v>
      </c>
      <c r="H1293" t="s">
        <v>13</v>
      </c>
      <c r="I1293" t="s">
        <v>14</v>
      </c>
      <c r="J1293" t="s">
        <v>20</v>
      </c>
      <c r="K1293">
        <v>5615</v>
      </c>
      <c r="L1293">
        <v>15</v>
      </c>
      <c r="M1293">
        <v>84225</v>
      </c>
      <c r="N1293" t="s">
        <v>21</v>
      </c>
    </row>
    <row r="1294" spans="5:14" x14ac:dyDescent="0.35">
      <c r="E1294" t="s">
        <v>59</v>
      </c>
      <c r="F1294" t="s">
        <v>35</v>
      </c>
      <c r="G1294" t="s">
        <v>36</v>
      </c>
      <c r="H1294" t="s">
        <v>22</v>
      </c>
      <c r="I1294" t="s">
        <v>23</v>
      </c>
      <c r="J1294" t="s">
        <v>24</v>
      </c>
      <c r="K1294">
        <v>9601</v>
      </c>
      <c r="L1294">
        <v>2</v>
      </c>
      <c r="M1294">
        <v>19202</v>
      </c>
      <c r="N1294" t="s">
        <v>16</v>
      </c>
    </row>
    <row r="1295" spans="5:14" x14ac:dyDescent="0.35">
      <c r="E1295" t="s">
        <v>59</v>
      </c>
      <c r="F1295" t="s">
        <v>35</v>
      </c>
      <c r="G1295" t="s">
        <v>36</v>
      </c>
      <c r="H1295" t="s">
        <v>22</v>
      </c>
      <c r="I1295" t="s">
        <v>23</v>
      </c>
      <c r="J1295" t="s">
        <v>25</v>
      </c>
      <c r="K1295">
        <v>12360</v>
      </c>
      <c r="L1295">
        <v>2</v>
      </c>
      <c r="M1295">
        <v>24720</v>
      </c>
      <c r="N1295" t="s">
        <v>18</v>
      </c>
    </row>
    <row r="1296" spans="5:14" x14ac:dyDescent="0.35">
      <c r="E1296" t="s">
        <v>59</v>
      </c>
      <c r="F1296" t="s">
        <v>35</v>
      </c>
      <c r="G1296" t="s">
        <v>36</v>
      </c>
      <c r="H1296" t="s">
        <v>22</v>
      </c>
      <c r="I1296" t="s">
        <v>23</v>
      </c>
      <c r="J1296" t="s">
        <v>26</v>
      </c>
      <c r="K1296">
        <v>9211</v>
      </c>
      <c r="L1296">
        <v>5</v>
      </c>
      <c r="M1296">
        <v>46055</v>
      </c>
      <c r="N1296" t="s">
        <v>18</v>
      </c>
    </row>
    <row r="1297" spans="5:14" x14ac:dyDescent="0.35">
      <c r="E1297" t="s">
        <v>59</v>
      </c>
      <c r="F1297" t="s">
        <v>35</v>
      </c>
      <c r="G1297" t="s">
        <v>36</v>
      </c>
      <c r="H1297" t="s">
        <v>22</v>
      </c>
      <c r="I1297" t="s">
        <v>27</v>
      </c>
      <c r="J1297" t="s">
        <v>28</v>
      </c>
      <c r="K1297">
        <v>13817</v>
      </c>
      <c r="L1297">
        <v>3</v>
      </c>
      <c r="M1297">
        <v>41451</v>
      </c>
      <c r="N1297" t="s">
        <v>16</v>
      </c>
    </row>
    <row r="1298" spans="5:14" x14ac:dyDescent="0.35">
      <c r="E1298" t="s">
        <v>59</v>
      </c>
      <c r="F1298" t="s">
        <v>37</v>
      </c>
      <c r="G1298" t="s">
        <v>36</v>
      </c>
      <c r="H1298" t="s">
        <v>13</v>
      </c>
      <c r="I1298" t="s">
        <v>14</v>
      </c>
      <c r="J1298" t="s">
        <v>15</v>
      </c>
      <c r="K1298">
        <v>6339</v>
      </c>
      <c r="L1298">
        <v>10</v>
      </c>
      <c r="M1298">
        <v>63390</v>
      </c>
      <c r="N1298" t="s">
        <v>16</v>
      </c>
    </row>
    <row r="1299" spans="5:14" x14ac:dyDescent="0.35">
      <c r="E1299" t="s">
        <v>59</v>
      </c>
      <c r="F1299" t="s">
        <v>37</v>
      </c>
      <c r="G1299" t="s">
        <v>36</v>
      </c>
      <c r="H1299" t="s">
        <v>13</v>
      </c>
      <c r="I1299" t="s">
        <v>14</v>
      </c>
      <c r="J1299" t="s">
        <v>17</v>
      </c>
      <c r="K1299">
        <v>9387</v>
      </c>
      <c r="L1299">
        <v>20</v>
      </c>
      <c r="M1299">
        <v>187740</v>
      </c>
      <c r="N1299" t="s">
        <v>16</v>
      </c>
    </row>
    <row r="1300" spans="5:14" x14ac:dyDescent="0.35">
      <c r="E1300" t="s">
        <v>59</v>
      </c>
      <c r="F1300" t="s">
        <v>37</v>
      </c>
      <c r="G1300" t="s">
        <v>36</v>
      </c>
      <c r="H1300" t="s">
        <v>13</v>
      </c>
      <c r="I1300" t="s">
        <v>14</v>
      </c>
      <c r="J1300" t="s">
        <v>19</v>
      </c>
      <c r="K1300">
        <v>12543</v>
      </c>
      <c r="L1300">
        <v>30</v>
      </c>
      <c r="M1300">
        <v>376290</v>
      </c>
      <c r="N1300" t="s">
        <v>16</v>
      </c>
    </row>
    <row r="1301" spans="5:14" x14ac:dyDescent="0.35">
      <c r="E1301" t="s">
        <v>59</v>
      </c>
      <c r="F1301" t="s">
        <v>37</v>
      </c>
      <c r="G1301" t="s">
        <v>36</v>
      </c>
      <c r="H1301" t="s">
        <v>13</v>
      </c>
      <c r="I1301" t="s">
        <v>14</v>
      </c>
      <c r="J1301" t="s">
        <v>20</v>
      </c>
      <c r="K1301">
        <v>10526</v>
      </c>
      <c r="L1301">
        <v>15</v>
      </c>
      <c r="M1301">
        <v>157890</v>
      </c>
      <c r="N1301" t="s">
        <v>16</v>
      </c>
    </row>
    <row r="1302" spans="5:14" x14ac:dyDescent="0.35">
      <c r="E1302" t="s">
        <v>59</v>
      </c>
      <c r="F1302" t="s">
        <v>37</v>
      </c>
      <c r="G1302" t="s">
        <v>36</v>
      </c>
      <c r="H1302" t="s">
        <v>22</v>
      </c>
      <c r="I1302" t="s">
        <v>23</v>
      </c>
      <c r="J1302" t="s">
        <v>24</v>
      </c>
      <c r="K1302">
        <v>5717</v>
      </c>
      <c r="L1302">
        <v>2</v>
      </c>
      <c r="M1302">
        <v>11434</v>
      </c>
      <c r="N1302" t="s">
        <v>18</v>
      </c>
    </row>
    <row r="1303" spans="5:14" x14ac:dyDescent="0.35">
      <c r="E1303" t="s">
        <v>59</v>
      </c>
      <c r="F1303" t="s">
        <v>37</v>
      </c>
      <c r="G1303" t="s">
        <v>36</v>
      </c>
      <c r="H1303" t="s">
        <v>22</v>
      </c>
      <c r="I1303" t="s">
        <v>23</v>
      </c>
      <c r="J1303" t="s">
        <v>25</v>
      </c>
      <c r="K1303">
        <v>9993</v>
      </c>
      <c r="L1303">
        <v>2</v>
      </c>
      <c r="M1303">
        <v>19986</v>
      </c>
      <c r="N1303" t="s">
        <v>16</v>
      </c>
    </row>
    <row r="1304" spans="5:14" x14ac:dyDescent="0.35">
      <c r="E1304" t="s">
        <v>59</v>
      </c>
      <c r="F1304" t="s">
        <v>37</v>
      </c>
      <c r="G1304" t="s">
        <v>36</v>
      </c>
      <c r="H1304" t="s">
        <v>22</v>
      </c>
      <c r="I1304" t="s">
        <v>23</v>
      </c>
      <c r="J1304" t="s">
        <v>26</v>
      </c>
      <c r="K1304">
        <v>9229</v>
      </c>
      <c r="L1304">
        <v>5</v>
      </c>
      <c r="M1304">
        <v>46145</v>
      </c>
      <c r="N1304" t="s">
        <v>16</v>
      </c>
    </row>
    <row r="1305" spans="5:14" x14ac:dyDescent="0.35">
      <c r="E1305" t="s">
        <v>59</v>
      </c>
      <c r="F1305" t="s">
        <v>37</v>
      </c>
      <c r="G1305" t="s">
        <v>36</v>
      </c>
      <c r="H1305" t="s">
        <v>22</v>
      </c>
      <c r="I1305" t="s">
        <v>27</v>
      </c>
      <c r="J1305" t="s">
        <v>28</v>
      </c>
      <c r="K1305">
        <v>12820</v>
      </c>
      <c r="L1305">
        <v>3</v>
      </c>
      <c r="M1305">
        <v>38460</v>
      </c>
      <c r="N1305" t="s">
        <v>16</v>
      </c>
    </row>
    <row r="1306" spans="5:14" x14ac:dyDescent="0.35">
      <c r="E1306" t="s">
        <v>59</v>
      </c>
      <c r="F1306" t="s">
        <v>38</v>
      </c>
      <c r="G1306" t="s">
        <v>36</v>
      </c>
      <c r="H1306" t="s">
        <v>13</v>
      </c>
      <c r="I1306" t="s">
        <v>14</v>
      </c>
      <c r="J1306" t="s">
        <v>15</v>
      </c>
      <c r="K1306">
        <v>13600</v>
      </c>
      <c r="L1306">
        <v>10</v>
      </c>
      <c r="M1306">
        <v>136000</v>
      </c>
      <c r="N1306" t="s">
        <v>21</v>
      </c>
    </row>
    <row r="1307" spans="5:14" x14ac:dyDescent="0.35">
      <c r="E1307" t="s">
        <v>59</v>
      </c>
      <c r="F1307" t="s">
        <v>38</v>
      </c>
      <c r="G1307" t="s">
        <v>36</v>
      </c>
      <c r="H1307" t="s">
        <v>13</v>
      </c>
      <c r="I1307" t="s">
        <v>14</v>
      </c>
      <c r="J1307" t="s">
        <v>17</v>
      </c>
      <c r="K1307">
        <v>8462</v>
      </c>
      <c r="L1307">
        <v>20</v>
      </c>
      <c r="M1307">
        <v>169240</v>
      </c>
      <c r="N1307" t="s">
        <v>18</v>
      </c>
    </row>
    <row r="1308" spans="5:14" x14ac:dyDescent="0.35">
      <c r="E1308" t="s">
        <v>59</v>
      </c>
      <c r="F1308" t="s">
        <v>38</v>
      </c>
      <c r="G1308" t="s">
        <v>36</v>
      </c>
      <c r="H1308" t="s">
        <v>13</v>
      </c>
      <c r="I1308" t="s">
        <v>14</v>
      </c>
      <c r="J1308" t="s">
        <v>19</v>
      </c>
      <c r="K1308">
        <v>11300</v>
      </c>
      <c r="L1308">
        <v>30</v>
      </c>
      <c r="M1308">
        <v>339000</v>
      </c>
      <c r="N1308" t="s">
        <v>16</v>
      </c>
    </row>
    <row r="1309" spans="5:14" x14ac:dyDescent="0.35">
      <c r="E1309" t="s">
        <v>59</v>
      </c>
      <c r="F1309" t="s">
        <v>38</v>
      </c>
      <c r="G1309" t="s">
        <v>36</v>
      </c>
      <c r="H1309" t="s">
        <v>13</v>
      </c>
      <c r="I1309" t="s">
        <v>14</v>
      </c>
      <c r="J1309" t="s">
        <v>20</v>
      </c>
      <c r="K1309">
        <v>7938</v>
      </c>
      <c r="L1309">
        <v>15</v>
      </c>
      <c r="M1309">
        <v>119070</v>
      </c>
      <c r="N1309" t="s">
        <v>16</v>
      </c>
    </row>
    <row r="1310" spans="5:14" x14ac:dyDescent="0.35">
      <c r="E1310" t="s">
        <v>59</v>
      </c>
      <c r="F1310" t="s">
        <v>38</v>
      </c>
      <c r="G1310" t="s">
        <v>36</v>
      </c>
      <c r="H1310" t="s">
        <v>22</v>
      </c>
      <c r="I1310" t="s">
        <v>23</v>
      </c>
      <c r="J1310" t="s">
        <v>24</v>
      </c>
      <c r="K1310">
        <v>12111</v>
      </c>
      <c r="L1310">
        <v>2</v>
      </c>
      <c r="M1310">
        <v>24222</v>
      </c>
      <c r="N1310" t="s">
        <v>21</v>
      </c>
    </row>
    <row r="1311" spans="5:14" x14ac:dyDescent="0.35">
      <c r="E1311" t="s">
        <v>59</v>
      </c>
      <c r="F1311" t="s">
        <v>38</v>
      </c>
      <c r="G1311" t="s">
        <v>36</v>
      </c>
      <c r="H1311" t="s">
        <v>22</v>
      </c>
      <c r="I1311" t="s">
        <v>23</v>
      </c>
      <c r="J1311" t="s">
        <v>25</v>
      </c>
      <c r="K1311">
        <v>13878</v>
      </c>
      <c r="L1311">
        <v>2</v>
      </c>
      <c r="M1311">
        <v>27756</v>
      </c>
      <c r="N1311" t="s">
        <v>21</v>
      </c>
    </row>
    <row r="1312" spans="5:14" x14ac:dyDescent="0.35">
      <c r="E1312" t="s">
        <v>59</v>
      </c>
      <c r="F1312" t="s">
        <v>38</v>
      </c>
      <c r="G1312" t="s">
        <v>36</v>
      </c>
      <c r="H1312" t="s">
        <v>22</v>
      </c>
      <c r="I1312" t="s">
        <v>23</v>
      </c>
      <c r="J1312" t="s">
        <v>26</v>
      </c>
      <c r="K1312">
        <v>12991</v>
      </c>
      <c r="L1312">
        <v>5</v>
      </c>
      <c r="M1312">
        <v>64955</v>
      </c>
      <c r="N1312" t="s">
        <v>18</v>
      </c>
    </row>
    <row r="1313" spans="5:14" x14ac:dyDescent="0.35">
      <c r="E1313" t="s">
        <v>59</v>
      </c>
      <c r="F1313" t="s">
        <v>38</v>
      </c>
      <c r="G1313" t="s">
        <v>36</v>
      </c>
      <c r="H1313" t="s">
        <v>22</v>
      </c>
      <c r="I1313" t="s">
        <v>27</v>
      </c>
      <c r="J1313" t="s">
        <v>28</v>
      </c>
      <c r="K1313">
        <v>11385</v>
      </c>
      <c r="L1313">
        <v>3</v>
      </c>
      <c r="M1313">
        <v>34155</v>
      </c>
      <c r="N1313" t="s">
        <v>16</v>
      </c>
    </row>
    <row r="1314" spans="5:14" x14ac:dyDescent="0.35">
      <c r="E1314" t="s">
        <v>59</v>
      </c>
      <c r="F1314" t="s">
        <v>39</v>
      </c>
      <c r="G1314" t="s">
        <v>36</v>
      </c>
      <c r="H1314" t="s">
        <v>13</v>
      </c>
      <c r="I1314" t="s">
        <v>14</v>
      </c>
      <c r="J1314" t="s">
        <v>15</v>
      </c>
      <c r="K1314">
        <v>5117</v>
      </c>
      <c r="L1314">
        <v>10</v>
      </c>
      <c r="M1314">
        <v>51170</v>
      </c>
      <c r="N1314" t="s">
        <v>16</v>
      </c>
    </row>
    <row r="1315" spans="5:14" x14ac:dyDescent="0.35">
      <c r="E1315" t="s">
        <v>59</v>
      </c>
      <c r="F1315" t="s">
        <v>39</v>
      </c>
      <c r="G1315" t="s">
        <v>36</v>
      </c>
      <c r="H1315" t="s">
        <v>13</v>
      </c>
      <c r="I1315" t="s">
        <v>14</v>
      </c>
      <c r="J1315" t="s">
        <v>17</v>
      </c>
      <c r="K1315">
        <v>10200</v>
      </c>
      <c r="L1315">
        <v>20</v>
      </c>
      <c r="M1315">
        <v>204000</v>
      </c>
      <c r="N1315" t="s">
        <v>16</v>
      </c>
    </row>
    <row r="1316" spans="5:14" x14ac:dyDescent="0.35">
      <c r="E1316" t="s">
        <v>59</v>
      </c>
      <c r="F1316" t="s">
        <v>39</v>
      </c>
      <c r="G1316" t="s">
        <v>36</v>
      </c>
      <c r="H1316" t="s">
        <v>13</v>
      </c>
      <c r="I1316" t="s">
        <v>14</v>
      </c>
      <c r="J1316" t="s">
        <v>19</v>
      </c>
      <c r="K1316">
        <v>12787</v>
      </c>
      <c r="L1316">
        <v>30</v>
      </c>
      <c r="M1316">
        <v>383610</v>
      </c>
      <c r="N1316" t="s">
        <v>16</v>
      </c>
    </row>
    <row r="1317" spans="5:14" x14ac:dyDescent="0.35">
      <c r="E1317" t="s">
        <v>59</v>
      </c>
      <c r="F1317" t="s">
        <v>39</v>
      </c>
      <c r="G1317" t="s">
        <v>36</v>
      </c>
      <c r="H1317" t="s">
        <v>13</v>
      </c>
      <c r="I1317" t="s">
        <v>14</v>
      </c>
      <c r="J1317" t="s">
        <v>20</v>
      </c>
      <c r="K1317">
        <v>9084</v>
      </c>
      <c r="L1317">
        <v>15</v>
      </c>
      <c r="M1317">
        <v>136260</v>
      </c>
      <c r="N1317" t="s">
        <v>21</v>
      </c>
    </row>
    <row r="1318" spans="5:14" x14ac:dyDescent="0.35">
      <c r="E1318" t="s">
        <v>59</v>
      </c>
      <c r="F1318" t="s">
        <v>39</v>
      </c>
      <c r="G1318" t="s">
        <v>36</v>
      </c>
      <c r="H1318" t="s">
        <v>22</v>
      </c>
      <c r="I1318" t="s">
        <v>23</v>
      </c>
      <c r="J1318" t="s">
        <v>24</v>
      </c>
      <c r="K1318">
        <v>6407</v>
      </c>
      <c r="L1318">
        <v>2</v>
      </c>
      <c r="M1318">
        <v>12814</v>
      </c>
      <c r="N1318" t="s">
        <v>16</v>
      </c>
    </row>
    <row r="1319" spans="5:14" x14ac:dyDescent="0.35">
      <c r="E1319" t="s">
        <v>59</v>
      </c>
      <c r="F1319" t="s">
        <v>39</v>
      </c>
      <c r="G1319" t="s">
        <v>36</v>
      </c>
      <c r="H1319" t="s">
        <v>22</v>
      </c>
      <c r="I1319" t="s">
        <v>23</v>
      </c>
      <c r="J1319" t="s">
        <v>25</v>
      </c>
      <c r="K1319">
        <v>13394</v>
      </c>
      <c r="L1319">
        <v>2</v>
      </c>
      <c r="M1319">
        <v>26788</v>
      </c>
      <c r="N1319" t="s">
        <v>18</v>
      </c>
    </row>
    <row r="1320" spans="5:14" x14ac:dyDescent="0.35">
      <c r="E1320" t="s">
        <v>59</v>
      </c>
      <c r="F1320" t="s">
        <v>39</v>
      </c>
      <c r="G1320" t="s">
        <v>36</v>
      </c>
      <c r="H1320" t="s">
        <v>22</v>
      </c>
      <c r="I1320" t="s">
        <v>23</v>
      </c>
      <c r="J1320" t="s">
        <v>26</v>
      </c>
      <c r="K1320">
        <v>7353</v>
      </c>
      <c r="L1320">
        <v>5</v>
      </c>
      <c r="M1320">
        <v>36765</v>
      </c>
      <c r="N1320" t="s">
        <v>18</v>
      </c>
    </row>
    <row r="1321" spans="5:14" x14ac:dyDescent="0.35">
      <c r="E1321" t="s">
        <v>59</v>
      </c>
      <c r="F1321" t="s">
        <v>39</v>
      </c>
      <c r="G1321" t="s">
        <v>36</v>
      </c>
      <c r="H1321" t="s">
        <v>22</v>
      </c>
      <c r="I1321" t="s">
        <v>27</v>
      </c>
      <c r="J1321" t="s">
        <v>28</v>
      </c>
      <c r="K1321">
        <v>12724</v>
      </c>
      <c r="L1321">
        <v>3</v>
      </c>
      <c r="M1321">
        <v>38172</v>
      </c>
      <c r="N1321" t="s">
        <v>21</v>
      </c>
    </row>
    <row r="1322" spans="5:14" x14ac:dyDescent="0.35">
      <c r="E1322" t="s">
        <v>59</v>
      </c>
      <c r="F1322" t="s">
        <v>40</v>
      </c>
      <c r="G1322" t="s">
        <v>36</v>
      </c>
      <c r="H1322" t="s">
        <v>13</v>
      </c>
      <c r="I1322" t="s">
        <v>14</v>
      </c>
      <c r="J1322" t="s">
        <v>15</v>
      </c>
      <c r="K1322">
        <v>7268</v>
      </c>
      <c r="L1322">
        <v>10</v>
      </c>
      <c r="M1322">
        <v>72680</v>
      </c>
      <c r="N1322" t="s">
        <v>18</v>
      </c>
    </row>
    <row r="1323" spans="5:14" x14ac:dyDescent="0.35">
      <c r="E1323" t="s">
        <v>59</v>
      </c>
      <c r="F1323" t="s">
        <v>40</v>
      </c>
      <c r="G1323" t="s">
        <v>36</v>
      </c>
      <c r="H1323" t="s">
        <v>13</v>
      </c>
      <c r="I1323" t="s">
        <v>14</v>
      </c>
      <c r="J1323" t="s">
        <v>17</v>
      </c>
      <c r="K1323">
        <v>13792</v>
      </c>
      <c r="L1323">
        <v>20</v>
      </c>
      <c r="M1323">
        <v>275840</v>
      </c>
      <c r="N1323" t="s">
        <v>21</v>
      </c>
    </row>
    <row r="1324" spans="5:14" x14ac:dyDescent="0.35">
      <c r="E1324" t="s">
        <v>59</v>
      </c>
      <c r="F1324" t="s">
        <v>40</v>
      </c>
      <c r="G1324" t="s">
        <v>36</v>
      </c>
      <c r="H1324" t="s">
        <v>13</v>
      </c>
      <c r="I1324" t="s">
        <v>14</v>
      </c>
      <c r="J1324" t="s">
        <v>19</v>
      </c>
      <c r="K1324">
        <v>10084</v>
      </c>
      <c r="L1324">
        <v>30</v>
      </c>
      <c r="M1324">
        <v>302520</v>
      </c>
      <c r="N1324" t="s">
        <v>21</v>
      </c>
    </row>
    <row r="1325" spans="5:14" x14ac:dyDescent="0.35">
      <c r="E1325" t="s">
        <v>59</v>
      </c>
      <c r="F1325" t="s">
        <v>40</v>
      </c>
      <c r="G1325" t="s">
        <v>36</v>
      </c>
      <c r="H1325" t="s">
        <v>13</v>
      </c>
      <c r="I1325" t="s">
        <v>14</v>
      </c>
      <c r="J1325" t="s">
        <v>20</v>
      </c>
      <c r="K1325">
        <v>9449</v>
      </c>
      <c r="L1325">
        <v>15</v>
      </c>
      <c r="M1325">
        <v>141735</v>
      </c>
      <c r="N1325" t="s">
        <v>18</v>
      </c>
    </row>
    <row r="1326" spans="5:14" x14ac:dyDescent="0.35">
      <c r="E1326" t="s">
        <v>59</v>
      </c>
      <c r="F1326" t="s">
        <v>40</v>
      </c>
      <c r="G1326" t="s">
        <v>36</v>
      </c>
      <c r="H1326" t="s">
        <v>22</v>
      </c>
      <c r="I1326" t="s">
        <v>23</v>
      </c>
      <c r="J1326" t="s">
        <v>24</v>
      </c>
      <c r="K1326">
        <v>10430</v>
      </c>
      <c r="L1326">
        <v>2</v>
      </c>
      <c r="M1326">
        <v>20860</v>
      </c>
      <c r="N1326" t="s">
        <v>21</v>
      </c>
    </row>
    <row r="1327" spans="5:14" x14ac:dyDescent="0.35">
      <c r="E1327" t="s">
        <v>59</v>
      </c>
      <c r="F1327" t="s">
        <v>40</v>
      </c>
      <c r="G1327" t="s">
        <v>36</v>
      </c>
      <c r="H1327" t="s">
        <v>22</v>
      </c>
      <c r="I1327" t="s">
        <v>23</v>
      </c>
      <c r="J1327" t="s">
        <v>25</v>
      </c>
      <c r="K1327">
        <v>7839</v>
      </c>
      <c r="L1327">
        <v>2</v>
      </c>
      <c r="M1327">
        <v>15678</v>
      </c>
      <c r="N1327" t="s">
        <v>21</v>
      </c>
    </row>
    <row r="1328" spans="5:14" x14ac:dyDescent="0.35">
      <c r="E1328" t="s">
        <v>59</v>
      </c>
      <c r="F1328" t="s">
        <v>40</v>
      </c>
      <c r="G1328" t="s">
        <v>36</v>
      </c>
      <c r="H1328" t="s">
        <v>22</v>
      </c>
      <c r="I1328" t="s">
        <v>23</v>
      </c>
      <c r="J1328" t="s">
        <v>26</v>
      </c>
      <c r="K1328">
        <v>9510</v>
      </c>
      <c r="L1328">
        <v>5</v>
      </c>
      <c r="M1328">
        <v>47550</v>
      </c>
      <c r="N1328" t="s">
        <v>21</v>
      </c>
    </row>
    <row r="1329" spans="5:14" x14ac:dyDescent="0.35">
      <c r="E1329" t="s">
        <v>59</v>
      </c>
      <c r="F1329" t="s">
        <v>40</v>
      </c>
      <c r="G1329" t="s">
        <v>36</v>
      </c>
      <c r="H1329" t="s">
        <v>22</v>
      </c>
      <c r="I1329" t="s">
        <v>27</v>
      </c>
      <c r="J1329" t="s">
        <v>28</v>
      </c>
      <c r="K1329">
        <v>7914</v>
      </c>
      <c r="L1329">
        <v>3</v>
      </c>
      <c r="M1329">
        <v>23742</v>
      </c>
      <c r="N1329" t="s">
        <v>16</v>
      </c>
    </row>
    <row r="1330" spans="5:14" x14ac:dyDescent="0.35">
      <c r="E1330" t="s">
        <v>59</v>
      </c>
      <c r="F1330" t="s">
        <v>41</v>
      </c>
      <c r="G1330" t="s">
        <v>42</v>
      </c>
      <c r="H1330" t="s">
        <v>13</v>
      </c>
      <c r="I1330" t="s">
        <v>14</v>
      </c>
      <c r="J1330" t="s">
        <v>15</v>
      </c>
      <c r="K1330">
        <v>12833</v>
      </c>
      <c r="L1330">
        <v>10</v>
      </c>
      <c r="M1330">
        <v>128330</v>
      </c>
      <c r="N1330" t="s">
        <v>21</v>
      </c>
    </row>
    <row r="1331" spans="5:14" x14ac:dyDescent="0.35">
      <c r="E1331" t="s">
        <v>59</v>
      </c>
      <c r="F1331" t="s">
        <v>41</v>
      </c>
      <c r="G1331" t="s">
        <v>42</v>
      </c>
      <c r="H1331" t="s">
        <v>13</v>
      </c>
      <c r="I1331" t="s">
        <v>14</v>
      </c>
      <c r="J1331" t="s">
        <v>17</v>
      </c>
      <c r="K1331">
        <v>14318</v>
      </c>
      <c r="L1331">
        <v>20</v>
      </c>
      <c r="M1331">
        <v>286360</v>
      </c>
      <c r="N1331" t="s">
        <v>18</v>
      </c>
    </row>
    <row r="1332" spans="5:14" x14ac:dyDescent="0.35">
      <c r="E1332" t="s">
        <v>59</v>
      </c>
      <c r="F1332" t="s">
        <v>41</v>
      </c>
      <c r="G1332" t="s">
        <v>42</v>
      </c>
      <c r="H1332" t="s">
        <v>13</v>
      </c>
      <c r="I1332" t="s">
        <v>14</v>
      </c>
      <c r="J1332" t="s">
        <v>19</v>
      </c>
      <c r="K1332">
        <v>13690</v>
      </c>
      <c r="L1332">
        <v>30</v>
      </c>
      <c r="M1332">
        <v>410700</v>
      </c>
      <c r="N1332" t="s">
        <v>16</v>
      </c>
    </row>
    <row r="1333" spans="5:14" x14ac:dyDescent="0.35">
      <c r="E1333" t="s">
        <v>59</v>
      </c>
      <c r="F1333" t="s">
        <v>41</v>
      </c>
      <c r="G1333" t="s">
        <v>42</v>
      </c>
      <c r="H1333" t="s">
        <v>13</v>
      </c>
      <c r="I1333" t="s">
        <v>14</v>
      </c>
      <c r="J1333" t="s">
        <v>20</v>
      </c>
      <c r="K1333">
        <v>11549</v>
      </c>
      <c r="L1333">
        <v>15</v>
      </c>
      <c r="M1333">
        <v>173235</v>
      </c>
      <c r="N1333" t="s">
        <v>18</v>
      </c>
    </row>
    <row r="1334" spans="5:14" x14ac:dyDescent="0.35">
      <c r="E1334" t="s">
        <v>59</v>
      </c>
      <c r="F1334" t="s">
        <v>41</v>
      </c>
      <c r="G1334" t="s">
        <v>42</v>
      </c>
      <c r="H1334" t="s">
        <v>22</v>
      </c>
      <c r="I1334" t="s">
        <v>23</v>
      </c>
      <c r="J1334" t="s">
        <v>24</v>
      </c>
      <c r="K1334">
        <v>5274</v>
      </c>
      <c r="L1334">
        <v>2</v>
      </c>
      <c r="M1334">
        <v>10548</v>
      </c>
      <c r="N1334" t="s">
        <v>18</v>
      </c>
    </row>
    <row r="1335" spans="5:14" x14ac:dyDescent="0.35">
      <c r="E1335" t="s">
        <v>59</v>
      </c>
      <c r="F1335" t="s">
        <v>41</v>
      </c>
      <c r="G1335" t="s">
        <v>42</v>
      </c>
      <c r="H1335" t="s">
        <v>22</v>
      </c>
      <c r="I1335" t="s">
        <v>23</v>
      </c>
      <c r="J1335" t="s">
        <v>25</v>
      </c>
      <c r="K1335">
        <v>9027</v>
      </c>
      <c r="L1335">
        <v>2</v>
      </c>
      <c r="M1335">
        <v>18054</v>
      </c>
      <c r="N1335" t="s">
        <v>16</v>
      </c>
    </row>
    <row r="1336" spans="5:14" x14ac:dyDescent="0.35">
      <c r="E1336" t="s">
        <v>59</v>
      </c>
      <c r="F1336" t="s">
        <v>41</v>
      </c>
      <c r="G1336" t="s">
        <v>42</v>
      </c>
      <c r="H1336" t="s">
        <v>22</v>
      </c>
      <c r="I1336" t="s">
        <v>23</v>
      </c>
      <c r="J1336" t="s">
        <v>26</v>
      </c>
      <c r="K1336">
        <v>9422</v>
      </c>
      <c r="L1336">
        <v>5</v>
      </c>
      <c r="M1336">
        <v>47110</v>
      </c>
      <c r="N1336" t="s">
        <v>21</v>
      </c>
    </row>
    <row r="1337" spans="5:14" x14ac:dyDescent="0.35">
      <c r="E1337" t="s">
        <v>59</v>
      </c>
      <c r="F1337" t="s">
        <v>41</v>
      </c>
      <c r="G1337" t="s">
        <v>42</v>
      </c>
      <c r="H1337" t="s">
        <v>22</v>
      </c>
      <c r="I1337" t="s">
        <v>27</v>
      </c>
      <c r="J1337" t="s">
        <v>28</v>
      </c>
      <c r="K1337">
        <v>12833</v>
      </c>
      <c r="L1337">
        <v>3</v>
      </c>
      <c r="M1337">
        <v>38499</v>
      </c>
      <c r="N1337" t="s">
        <v>16</v>
      </c>
    </row>
    <row r="1338" spans="5:14" x14ac:dyDescent="0.35">
      <c r="E1338" t="s">
        <v>59</v>
      </c>
      <c r="F1338" t="s">
        <v>43</v>
      </c>
      <c r="G1338" t="s">
        <v>42</v>
      </c>
      <c r="H1338" t="s">
        <v>13</v>
      </c>
      <c r="I1338" t="s">
        <v>14</v>
      </c>
      <c r="J1338" t="s">
        <v>15</v>
      </c>
      <c r="K1338">
        <v>13719</v>
      </c>
      <c r="L1338">
        <v>10</v>
      </c>
      <c r="M1338">
        <v>137190</v>
      </c>
      <c r="N1338" t="s">
        <v>21</v>
      </c>
    </row>
    <row r="1339" spans="5:14" x14ac:dyDescent="0.35">
      <c r="E1339" t="s">
        <v>59</v>
      </c>
      <c r="F1339" t="s">
        <v>43</v>
      </c>
      <c r="G1339" t="s">
        <v>42</v>
      </c>
      <c r="H1339" t="s">
        <v>13</v>
      </c>
      <c r="I1339" t="s">
        <v>14</v>
      </c>
      <c r="J1339" t="s">
        <v>17</v>
      </c>
      <c r="K1339">
        <v>5715</v>
      </c>
      <c r="L1339">
        <v>20</v>
      </c>
      <c r="M1339">
        <v>114300</v>
      </c>
      <c r="N1339" t="s">
        <v>16</v>
      </c>
    </row>
    <row r="1340" spans="5:14" x14ac:dyDescent="0.35">
      <c r="E1340" t="s">
        <v>59</v>
      </c>
      <c r="F1340" t="s">
        <v>43</v>
      </c>
      <c r="G1340" t="s">
        <v>42</v>
      </c>
      <c r="H1340" t="s">
        <v>13</v>
      </c>
      <c r="I1340" t="s">
        <v>14</v>
      </c>
      <c r="J1340" t="s">
        <v>19</v>
      </c>
      <c r="K1340">
        <v>12368</v>
      </c>
      <c r="L1340">
        <v>30</v>
      </c>
      <c r="M1340">
        <v>371040</v>
      </c>
      <c r="N1340" t="s">
        <v>21</v>
      </c>
    </row>
    <row r="1341" spans="5:14" x14ac:dyDescent="0.35">
      <c r="E1341" t="s">
        <v>59</v>
      </c>
      <c r="F1341" t="s">
        <v>43</v>
      </c>
      <c r="G1341" t="s">
        <v>42</v>
      </c>
      <c r="H1341" t="s">
        <v>13</v>
      </c>
      <c r="I1341" t="s">
        <v>14</v>
      </c>
      <c r="J1341" t="s">
        <v>20</v>
      </c>
      <c r="K1341">
        <v>12994</v>
      </c>
      <c r="L1341">
        <v>15</v>
      </c>
      <c r="M1341">
        <v>194910</v>
      </c>
      <c r="N1341" t="s">
        <v>21</v>
      </c>
    </row>
    <row r="1342" spans="5:14" x14ac:dyDescent="0.35">
      <c r="E1342" t="s">
        <v>59</v>
      </c>
      <c r="F1342" t="s">
        <v>43</v>
      </c>
      <c r="G1342" t="s">
        <v>42</v>
      </c>
      <c r="H1342" t="s">
        <v>22</v>
      </c>
      <c r="I1342" t="s">
        <v>23</v>
      </c>
      <c r="J1342" t="s">
        <v>24</v>
      </c>
      <c r="K1342">
        <v>11228</v>
      </c>
      <c r="L1342">
        <v>2</v>
      </c>
      <c r="M1342">
        <v>22456</v>
      </c>
      <c r="N1342" t="s">
        <v>16</v>
      </c>
    </row>
    <row r="1343" spans="5:14" x14ac:dyDescent="0.35">
      <c r="E1343" t="s">
        <v>59</v>
      </c>
      <c r="F1343" t="s">
        <v>43</v>
      </c>
      <c r="G1343" t="s">
        <v>42</v>
      </c>
      <c r="H1343" t="s">
        <v>22</v>
      </c>
      <c r="I1343" t="s">
        <v>23</v>
      </c>
      <c r="J1343" t="s">
        <v>25</v>
      </c>
      <c r="K1343">
        <v>12020</v>
      </c>
      <c r="L1343">
        <v>2</v>
      </c>
      <c r="M1343">
        <v>24040</v>
      </c>
      <c r="N1343" t="s">
        <v>21</v>
      </c>
    </row>
    <row r="1344" spans="5:14" x14ac:dyDescent="0.35">
      <c r="E1344" t="s">
        <v>59</v>
      </c>
      <c r="F1344" t="s">
        <v>43</v>
      </c>
      <c r="G1344" t="s">
        <v>42</v>
      </c>
      <c r="H1344" t="s">
        <v>22</v>
      </c>
      <c r="I1344" t="s">
        <v>23</v>
      </c>
      <c r="J1344" t="s">
        <v>26</v>
      </c>
      <c r="K1344">
        <v>14975</v>
      </c>
      <c r="L1344">
        <v>5</v>
      </c>
      <c r="M1344">
        <v>74875</v>
      </c>
      <c r="N1344" t="s">
        <v>18</v>
      </c>
    </row>
    <row r="1345" spans="5:14" x14ac:dyDescent="0.35">
      <c r="E1345" t="s">
        <v>59</v>
      </c>
      <c r="F1345" t="s">
        <v>43</v>
      </c>
      <c r="G1345" t="s">
        <v>42</v>
      </c>
      <c r="H1345" t="s">
        <v>22</v>
      </c>
      <c r="I1345" t="s">
        <v>27</v>
      </c>
      <c r="J1345" t="s">
        <v>28</v>
      </c>
      <c r="K1345">
        <v>5613</v>
      </c>
      <c r="L1345">
        <v>3</v>
      </c>
      <c r="M1345">
        <v>16839</v>
      </c>
      <c r="N1345" t="s">
        <v>21</v>
      </c>
    </row>
    <row r="1346" spans="5:14" x14ac:dyDescent="0.35">
      <c r="E1346" t="s">
        <v>59</v>
      </c>
      <c r="F1346" t="s">
        <v>44</v>
      </c>
      <c r="G1346" t="s">
        <v>42</v>
      </c>
      <c r="H1346" t="s">
        <v>13</v>
      </c>
      <c r="I1346" t="s">
        <v>14</v>
      </c>
      <c r="J1346" t="s">
        <v>15</v>
      </c>
      <c r="K1346">
        <v>13694</v>
      </c>
      <c r="L1346">
        <v>10</v>
      </c>
      <c r="M1346">
        <v>136940</v>
      </c>
      <c r="N1346" t="s">
        <v>16</v>
      </c>
    </row>
    <row r="1347" spans="5:14" x14ac:dyDescent="0.35">
      <c r="E1347" t="s">
        <v>59</v>
      </c>
      <c r="F1347" t="s">
        <v>44</v>
      </c>
      <c r="G1347" t="s">
        <v>42</v>
      </c>
      <c r="H1347" t="s">
        <v>13</v>
      </c>
      <c r="I1347" t="s">
        <v>14</v>
      </c>
      <c r="J1347" t="s">
        <v>17</v>
      </c>
      <c r="K1347">
        <v>11829</v>
      </c>
      <c r="L1347">
        <v>20</v>
      </c>
      <c r="M1347">
        <v>236580</v>
      </c>
      <c r="N1347" t="s">
        <v>21</v>
      </c>
    </row>
    <row r="1348" spans="5:14" x14ac:dyDescent="0.35">
      <c r="E1348" t="s">
        <v>59</v>
      </c>
      <c r="F1348" t="s">
        <v>44</v>
      </c>
      <c r="G1348" t="s">
        <v>42</v>
      </c>
      <c r="H1348" t="s">
        <v>13</v>
      </c>
      <c r="I1348" t="s">
        <v>14</v>
      </c>
      <c r="J1348" t="s">
        <v>19</v>
      </c>
      <c r="K1348">
        <v>12448</v>
      </c>
      <c r="L1348">
        <v>30</v>
      </c>
      <c r="M1348">
        <v>373440</v>
      </c>
      <c r="N1348" t="s">
        <v>21</v>
      </c>
    </row>
    <row r="1349" spans="5:14" x14ac:dyDescent="0.35">
      <c r="E1349" t="s">
        <v>59</v>
      </c>
      <c r="F1349" t="s">
        <v>44</v>
      </c>
      <c r="G1349" t="s">
        <v>42</v>
      </c>
      <c r="H1349" t="s">
        <v>13</v>
      </c>
      <c r="I1349" t="s">
        <v>14</v>
      </c>
      <c r="J1349" t="s">
        <v>20</v>
      </c>
      <c r="K1349">
        <v>7075</v>
      </c>
      <c r="L1349">
        <v>15</v>
      </c>
      <c r="M1349">
        <v>106125</v>
      </c>
      <c r="N1349" t="s">
        <v>18</v>
      </c>
    </row>
    <row r="1350" spans="5:14" x14ac:dyDescent="0.35">
      <c r="E1350" t="s">
        <v>59</v>
      </c>
      <c r="F1350" t="s">
        <v>44</v>
      </c>
      <c r="G1350" t="s">
        <v>42</v>
      </c>
      <c r="H1350" t="s">
        <v>22</v>
      </c>
      <c r="I1350" t="s">
        <v>23</v>
      </c>
      <c r="J1350" t="s">
        <v>24</v>
      </c>
      <c r="K1350">
        <v>13991</v>
      </c>
      <c r="L1350">
        <v>2</v>
      </c>
      <c r="M1350">
        <v>27982</v>
      </c>
      <c r="N1350" t="s">
        <v>16</v>
      </c>
    </row>
    <row r="1351" spans="5:14" x14ac:dyDescent="0.35">
      <c r="E1351" t="s">
        <v>59</v>
      </c>
      <c r="F1351" t="s">
        <v>44</v>
      </c>
      <c r="G1351" t="s">
        <v>42</v>
      </c>
      <c r="H1351" t="s">
        <v>22</v>
      </c>
      <c r="I1351" t="s">
        <v>23</v>
      </c>
      <c r="J1351" t="s">
        <v>25</v>
      </c>
      <c r="K1351">
        <v>12369</v>
      </c>
      <c r="L1351">
        <v>2</v>
      </c>
      <c r="M1351">
        <v>24738</v>
      </c>
      <c r="N1351" t="s">
        <v>21</v>
      </c>
    </row>
    <row r="1352" spans="5:14" x14ac:dyDescent="0.35">
      <c r="E1352" t="s">
        <v>59</v>
      </c>
      <c r="F1352" t="s">
        <v>44</v>
      </c>
      <c r="G1352" t="s">
        <v>42</v>
      </c>
      <c r="H1352" t="s">
        <v>22</v>
      </c>
      <c r="I1352" t="s">
        <v>23</v>
      </c>
      <c r="J1352" t="s">
        <v>26</v>
      </c>
      <c r="K1352">
        <v>9459</v>
      </c>
      <c r="L1352">
        <v>5</v>
      </c>
      <c r="M1352">
        <v>47295</v>
      </c>
      <c r="N1352" t="s">
        <v>18</v>
      </c>
    </row>
    <row r="1353" spans="5:14" x14ac:dyDescent="0.35">
      <c r="E1353" t="s">
        <v>59</v>
      </c>
      <c r="F1353" t="s">
        <v>44</v>
      </c>
      <c r="G1353" t="s">
        <v>42</v>
      </c>
      <c r="H1353" t="s">
        <v>22</v>
      </c>
      <c r="I1353" t="s">
        <v>27</v>
      </c>
      <c r="J1353" t="s">
        <v>28</v>
      </c>
      <c r="K1353">
        <v>6915</v>
      </c>
      <c r="L1353">
        <v>3</v>
      </c>
      <c r="M1353">
        <v>20745</v>
      </c>
      <c r="N1353" t="s">
        <v>21</v>
      </c>
    </row>
    <row r="1354" spans="5:14" x14ac:dyDescent="0.35">
      <c r="E1354" t="s">
        <v>59</v>
      </c>
      <c r="F1354" t="s">
        <v>45</v>
      </c>
      <c r="G1354" t="s">
        <v>42</v>
      </c>
      <c r="H1354" t="s">
        <v>13</v>
      </c>
      <c r="I1354" t="s">
        <v>14</v>
      </c>
      <c r="J1354" t="s">
        <v>15</v>
      </c>
      <c r="K1354">
        <v>7415</v>
      </c>
      <c r="L1354">
        <v>10</v>
      </c>
      <c r="M1354">
        <v>74150</v>
      </c>
      <c r="N1354" t="s">
        <v>18</v>
      </c>
    </row>
    <row r="1355" spans="5:14" x14ac:dyDescent="0.35">
      <c r="E1355" t="s">
        <v>59</v>
      </c>
      <c r="F1355" t="s">
        <v>45</v>
      </c>
      <c r="G1355" t="s">
        <v>42</v>
      </c>
      <c r="H1355" t="s">
        <v>13</v>
      </c>
      <c r="I1355" t="s">
        <v>14</v>
      </c>
      <c r="J1355" t="s">
        <v>17</v>
      </c>
      <c r="K1355">
        <v>13321</v>
      </c>
      <c r="L1355">
        <v>20</v>
      </c>
      <c r="M1355">
        <v>266420</v>
      </c>
      <c r="N1355" t="s">
        <v>18</v>
      </c>
    </row>
    <row r="1356" spans="5:14" x14ac:dyDescent="0.35">
      <c r="E1356" t="s">
        <v>59</v>
      </c>
      <c r="F1356" t="s">
        <v>45</v>
      </c>
      <c r="G1356" t="s">
        <v>42</v>
      </c>
      <c r="H1356" t="s">
        <v>13</v>
      </c>
      <c r="I1356" t="s">
        <v>14</v>
      </c>
      <c r="J1356" t="s">
        <v>19</v>
      </c>
      <c r="K1356">
        <v>9042</v>
      </c>
      <c r="L1356">
        <v>30</v>
      </c>
      <c r="M1356">
        <v>271260</v>
      </c>
      <c r="N1356" t="s">
        <v>18</v>
      </c>
    </row>
    <row r="1357" spans="5:14" x14ac:dyDescent="0.35">
      <c r="E1357" t="s">
        <v>59</v>
      </c>
      <c r="F1357" t="s">
        <v>45</v>
      </c>
      <c r="G1357" t="s">
        <v>42</v>
      </c>
      <c r="H1357" t="s">
        <v>13</v>
      </c>
      <c r="I1357" t="s">
        <v>14</v>
      </c>
      <c r="J1357" t="s">
        <v>20</v>
      </c>
      <c r="K1357">
        <v>9309</v>
      </c>
      <c r="L1357">
        <v>15</v>
      </c>
      <c r="M1357">
        <v>139635</v>
      </c>
      <c r="N1357" t="s">
        <v>18</v>
      </c>
    </row>
    <row r="1358" spans="5:14" x14ac:dyDescent="0.35">
      <c r="E1358" t="s">
        <v>59</v>
      </c>
      <c r="F1358" t="s">
        <v>45</v>
      </c>
      <c r="G1358" t="s">
        <v>42</v>
      </c>
      <c r="H1358" t="s">
        <v>22</v>
      </c>
      <c r="I1358" t="s">
        <v>23</v>
      </c>
      <c r="J1358" t="s">
        <v>24</v>
      </c>
      <c r="K1358">
        <v>8147</v>
      </c>
      <c r="L1358">
        <v>2</v>
      </c>
      <c r="M1358">
        <v>16294</v>
      </c>
      <c r="N1358" t="s">
        <v>18</v>
      </c>
    </row>
    <row r="1359" spans="5:14" x14ac:dyDescent="0.35">
      <c r="E1359" t="s">
        <v>59</v>
      </c>
      <c r="F1359" t="s">
        <v>45</v>
      </c>
      <c r="G1359" t="s">
        <v>42</v>
      </c>
      <c r="H1359" t="s">
        <v>22</v>
      </c>
      <c r="I1359" t="s">
        <v>23</v>
      </c>
      <c r="J1359" t="s">
        <v>25</v>
      </c>
      <c r="K1359">
        <v>14067</v>
      </c>
      <c r="L1359">
        <v>2</v>
      </c>
      <c r="M1359">
        <v>28134</v>
      </c>
      <c r="N1359" t="s">
        <v>21</v>
      </c>
    </row>
    <row r="1360" spans="5:14" x14ac:dyDescent="0.35">
      <c r="E1360" t="s">
        <v>59</v>
      </c>
      <c r="F1360" t="s">
        <v>45</v>
      </c>
      <c r="G1360" t="s">
        <v>42</v>
      </c>
      <c r="H1360" t="s">
        <v>22</v>
      </c>
      <c r="I1360" t="s">
        <v>23</v>
      </c>
      <c r="J1360" t="s">
        <v>26</v>
      </c>
      <c r="K1360">
        <v>12077</v>
      </c>
      <c r="L1360">
        <v>5</v>
      </c>
      <c r="M1360">
        <v>60385</v>
      </c>
      <c r="N1360" t="s">
        <v>16</v>
      </c>
    </row>
    <row r="1361" spans="5:14" x14ac:dyDescent="0.35">
      <c r="E1361" t="s">
        <v>59</v>
      </c>
      <c r="F1361" t="s">
        <v>45</v>
      </c>
      <c r="G1361" t="s">
        <v>42</v>
      </c>
      <c r="H1361" t="s">
        <v>22</v>
      </c>
      <c r="I1361" t="s">
        <v>27</v>
      </c>
      <c r="J1361" t="s">
        <v>28</v>
      </c>
      <c r="K1361">
        <v>14245</v>
      </c>
      <c r="L1361">
        <v>3</v>
      </c>
      <c r="M1361">
        <v>42735</v>
      </c>
      <c r="N1361" t="s">
        <v>18</v>
      </c>
    </row>
    <row r="1362" spans="5:14" x14ac:dyDescent="0.35">
      <c r="E1362" t="s">
        <v>59</v>
      </c>
      <c r="F1362" t="s">
        <v>46</v>
      </c>
      <c r="G1362" t="s">
        <v>42</v>
      </c>
      <c r="H1362" t="s">
        <v>13</v>
      </c>
      <c r="I1362" t="s">
        <v>14</v>
      </c>
      <c r="J1362" t="s">
        <v>15</v>
      </c>
      <c r="K1362">
        <v>11712</v>
      </c>
      <c r="L1362">
        <v>10</v>
      </c>
      <c r="M1362">
        <v>117120</v>
      </c>
      <c r="N1362" t="s">
        <v>16</v>
      </c>
    </row>
    <row r="1363" spans="5:14" x14ac:dyDescent="0.35">
      <c r="E1363" t="s">
        <v>59</v>
      </c>
      <c r="F1363" t="s">
        <v>46</v>
      </c>
      <c r="G1363" t="s">
        <v>42</v>
      </c>
      <c r="H1363" t="s">
        <v>13</v>
      </c>
      <c r="I1363" t="s">
        <v>14</v>
      </c>
      <c r="J1363" t="s">
        <v>17</v>
      </c>
      <c r="K1363">
        <v>14311</v>
      </c>
      <c r="L1363">
        <v>20</v>
      </c>
      <c r="M1363">
        <v>286220</v>
      </c>
      <c r="N1363" t="s">
        <v>18</v>
      </c>
    </row>
    <row r="1364" spans="5:14" x14ac:dyDescent="0.35">
      <c r="E1364" t="s">
        <v>59</v>
      </c>
      <c r="F1364" t="s">
        <v>46</v>
      </c>
      <c r="G1364" t="s">
        <v>42</v>
      </c>
      <c r="H1364" t="s">
        <v>13</v>
      </c>
      <c r="I1364" t="s">
        <v>14</v>
      </c>
      <c r="J1364" t="s">
        <v>19</v>
      </c>
      <c r="K1364">
        <v>10045</v>
      </c>
      <c r="L1364">
        <v>30</v>
      </c>
      <c r="M1364">
        <v>301350</v>
      </c>
      <c r="N1364" t="s">
        <v>16</v>
      </c>
    </row>
    <row r="1365" spans="5:14" x14ac:dyDescent="0.35">
      <c r="E1365" t="s">
        <v>59</v>
      </c>
      <c r="F1365" t="s">
        <v>46</v>
      </c>
      <c r="G1365" t="s">
        <v>42</v>
      </c>
      <c r="H1365" t="s">
        <v>13</v>
      </c>
      <c r="I1365" t="s">
        <v>14</v>
      </c>
      <c r="J1365" t="s">
        <v>20</v>
      </c>
      <c r="K1365">
        <v>7146</v>
      </c>
      <c r="L1365">
        <v>15</v>
      </c>
      <c r="M1365">
        <v>107190</v>
      </c>
      <c r="N1365" t="s">
        <v>21</v>
      </c>
    </row>
    <row r="1366" spans="5:14" x14ac:dyDescent="0.35">
      <c r="E1366" t="s">
        <v>59</v>
      </c>
      <c r="F1366" t="s">
        <v>46</v>
      </c>
      <c r="G1366" t="s">
        <v>42</v>
      </c>
      <c r="H1366" t="s">
        <v>22</v>
      </c>
      <c r="I1366" t="s">
        <v>23</v>
      </c>
      <c r="J1366" t="s">
        <v>24</v>
      </c>
      <c r="K1366">
        <v>14242</v>
      </c>
      <c r="L1366">
        <v>2</v>
      </c>
      <c r="M1366">
        <v>28484</v>
      </c>
      <c r="N1366" t="s">
        <v>18</v>
      </c>
    </row>
    <row r="1367" spans="5:14" x14ac:dyDescent="0.35">
      <c r="E1367" t="s">
        <v>59</v>
      </c>
      <c r="F1367" t="s">
        <v>46</v>
      </c>
      <c r="G1367" t="s">
        <v>42</v>
      </c>
      <c r="H1367" t="s">
        <v>22</v>
      </c>
      <c r="I1367" t="s">
        <v>23</v>
      </c>
      <c r="J1367" t="s">
        <v>25</v>
      </c>
      <c r="K1367">
        <v>5019</v>
      </c>
      <c r="L1367">
        <v>2</v>
      </c>
      <c r="M1367">
        <v>10038</v>
      </c>
      <c r="N1367" t="s">
        <v>21</v>
      </c>
    </row>
    <row r="1368" spans="5:14" x14ac:dyDescent="0.35">
      <c r="E1368" t="s">
        <v>59</v>
      </c>
      <c r="F1368" t="s">
        <v>46</v>
      </c>
      <c r="G1368" t="s">
        <v>42</v>
      </c>
      <c r="H1368" t="s">
        <v>22</v>
      </c>
      <c r="I1368" t="s">
        <v>23</v>
      </c>
      <c r="J1368" t="s">
        <v>26</v>
      </c>
      <c r="K1368">
        <v>6045</v>
      </c>
      <c r="L1368">
        <v>5</v>
      </c>
      <c r="M1368">
        <v>30225</v>
      </c>
      <c r="N1368" t="s">
        <v>16</v>
      </c>
    </row>
    <row r="1369" spans="5:14" x14ac:dyDescent="0.35">
      <c r="E1369" t="s">
        <v>59</v>
      </c>
      <c r="F1369" t="s">
        <v>46</v>
      </c>
      <c r="G1369" t="s">
        <v>42</v>
      </c>
      <c r="H1369" t="s">
        <v>22</v>
      </c>
      <c r="I1369" t="s">
        <v>27</v>
      </c>
      <c r="J1369" t="s">
        <v>28</v>
      </c>
      <c r="K1369">
        <v>10047</v>
      </c>
      <c r="L1369">
        <v>3</v>
      </c>
      <c r="M1369">
        <v>30141</v>
      </c>
      <c r="N1369" t="s">
        <v>16</v>
      </c>
    </row>
    <row r="1370" spans="5:14" x14ac:dyDescent="0.35">
      <c r="E1370" t="s">
        <v>59</v>
      </c>
      <c r="F1370" t="s">
        <v>47</v>
      </c>
      <c r="G1370" t="s">
        <v>48</v>
      </c>
      <c r="H1370" t="s">
        <v>13</v>
      </c>
      <c r="I1370" t="s">
        <v>14</v>
      </c>
      <c r="J1370" t="s">
        <v>15</v>
      </c>
      <c r="K1370">
        <v>10393</v>
      </c>
      <c r="L1370">
        <v>10</v>
      </c>
      <c r="M1370">
        <v>103930</v>
      </c>
      <c r="N1370" t="s">
        <v>18</v>
      </c>
    </row>
    <row r="1371" spans="5:14" x14ac:dyDescent="0.35">
      <c r="E1371" t="s">
        <v>59</v>
      </c>
      <c r="F1371" t="s">
        <v>47</v>
      </c>
      <c r="G1371" t="s">
        <v>48</v>
      </c>
      <c r="H1371" t="s">
        <v>13</v>
      </c>
      <c r="I1371" t="s">
        <v>14</v>
      </c>
      <c r="J1371" t="s">
        <v>17</v>
      </c>
      <c r="K1371">
        <v>9996</v>
      </c>
      <c r="L1371">
        <v>20</v>
      </c>
      <c r="M1371">
        <v>199920</v>
      </c>
      <c r="N1371" t="s">
        <v>16</v>
      </c>
    </row>
    <row r="1372" spans="5:14" x14ac:dyDescent="0.35">
      <c r="E1372" t="s">
        <v>59</v>
      </c>
      <c r="F1372" t="s">
        <v>47</v>
      </c>
      <c r="G1372" t="s">
        <v>48</v>
      </c>
      <c r="H1372" t="s">
        <v>13</v>
      </c>
      <c r="I1372" t="s">
        <v>14</v>
      </c>
      <c r="J1372" t="s">
        <v>19</v>
      </c>
      <c r="K1372">
        <v>13123</v>
      </c>
      <c r="L1372">
        <v>30</v>
      </c>
      <c r="M1372">
        <v>393690</v>
      </c>
      <c r="N1372" t="s">
        <v>16</v>
      </c>
    </row>
    <row r="1373" spans="5:14" x14ac:dyDescent="0.35">
      <c r="E1373" t="s">
        <v>59</v>
      </c>
      <c r="F1373" t="s">
        <v>47</v>
      </c>
      <c r="G1373" t="s">
        <v>48</v>
      </c>
      <c r="H1373" t="s">
        <v>13</v>
      </c>
      <c r="I1373" t="s">
        <v>14</v>
      </c>
      <c r="J1373" t="s">
        <v>20</v>
      </c>
      <c r="K1373">
        <v>5539</v>
      </c>
      <c r="L1373">
        <v>15</v>
      </c>
      <c r="M1373">
        <v>83085</v>
      </c>
      <c r="N1373" t="s">
        <v>21</v>
      </c>
    </row>
    <row r="1374" spans="5:14" x14ac:dyDescent="0.35">
      <c r="E1374" t="s">
        <v>59</v>
      </c>
      <c r="F1374" t="s">
        <v>47</v>
      </c>
      <c r="G1374" t="s">
        <v>48</v>
      </c>
      <c r="H1374" t="s">
        <v>22</v>
      </c>
      <c r="I1374" t="s">
        <v>23</v>
      </c>
      <c r="J1374" t="s">
        <v>24</v>
      </c>
      <c r="K1374">
        <v>7306</v>
      </c>
      <c r="L1374">
        <v>2</v>
      </c>
      <c r="M1374">
        <v>14612</v>
      </c>
      <c r="N1374" t="s">
        <v>16</v>
      </c>
    </row>
    <row r="1375" spans="5:14" x14ac:dyDescent="0.35">
      <c r="E1375" t="s">
        <v>59</v>
      </c>
      <c r="F1375" t="s">
        <v>47</v>
      </c>
      <c r="G1375" t="s">
        <v>48</v>
      </c>
      <c r="H1375" t="s">
        <v>22</v>
      </c>
      <c r="I1375" t="s">
        <v>23</v>
      </c>
      <c r="J1375" t="s">
        <v>25</v>
      </c>
      <c r="K1375">
        <v>6101</v>
      </c>
      <c r="L1375">
        <v>2</v>
      </c>
      <c r="M1375">
        <v>12202</v>
      </c>
      <c r="N1375" t="s">
        <v>18</v>
      </c>
    </row>
    <row r="1376" spans="5:14" x14ac:dyDescent="0.35">
      <c r="E1376" t="s">
        <v>59</v>
      </c>
      <c r="F1376" t="s">
        <v>47</v>
      </c>
      <c r="G1376" t="s">
        <v>48</v>
      </c>
      <c r="H1376" t="s">
        <v>22</v>
      </c>
      <c r="I1376" t="s">
        <v>23</v>
      </c>
      <c r="J1376" t="s">
        <v>26</v>
      </c>
      <c r="K1376">
        <v>12187</v>
      </c>
      <c r="L1376">
        <v>5</v>
      </c>
      <c r="M1376">
        <v>60935</v>
      </c>
      <c r="N1376" t="s">
        <v>16</v>
      </c>
    </row>
    <row r="1377" spans="5:14" x14ac:dyDescent="0.35">
      <c r="E1377" t="s">
        <v>59</v>
      </c>
      <c r="F1377" t="s">
        <v>47</v>
      </c>
      <c r="G1377" t="s">
        <v>48</v>
      </c>
      <c r="H1377" t="s">
        <v>22</v>
      </c>
      <c r="I1377" t="s">
        <v>27</v>
      </c>
      <c r="J1377" t="s">
        <v>28</v>
      </c>
      <c r="K1377">
        <v>11776</v>
      </c>
      <c r="L1377">
        <v>3</v>
      </c>
      <c r="M1377">
        <v>35328</v>
      </c>
      <c r="N1377" t="s">
        <v>16</v>
      </c>
    </row>
    <row r="1378" spans="5:14" x14ac:dyDescent="0.35">
      <c r="E1378" t="s">
        <v>59</v>
      </c>
      <c r="F1378" t="s">
        <v>49</v>
      </c>
      <c r="G1378" t="s">
        <v>48</v>
      </c>
      <c r="H1378" t="s">
        <v>13</v>
      </c>
      <c r="I1378" t="s">
        <v>14</v>
      </c>
      <c r="J1378" t="s">
        <v>15</v>
      </c>
      <c r="K1378">
        <v>14028</v>
      </c>
      <c r="L1378">
        <v>10</v>
      </c>
      <c r="M1378">
        <v>140280</v>
      </c>
      <c r="N1378" t="s">
        <v>18</v>
      </c>
    </row>
    <row r="1379" spans="5:14" x14ac:dyDescent="0.35">
      <c r="E1379" t="s">
        <v>59</v>
      </c>
      <c r="F1379" t="s">
        <v>49</v>
      </c>
      <c r="G1379" t="s">
        <v>48</v>
      </c>
      <c r="H1379" t="s">
        <v>13</v>
      </c>
      <c r="I1379" t="s">
        <v>14</v>
      </c>
      <c r="J1379" t="s">
        <v>17</v>
      </c>
      <c r="K1379">
        <v>5930</v>
      </c>
      <c r="L1379">
        <v>20</v>
      </c>
      <c r="M1379">
        <v>118600</v>
      </c>
      <c r="N1379" t="s">
        <v>16</v>
      </c>
    </row>
    <row r="1380" spans="5:14" x14ac:dyDescent="0.35">
      <c r="E1380" t="s">
        <v>59</v>
      </c>
      <c r="F1380" t="s">
        <v>49</v>
      </c>
      <c r="G1380" t="s">
        <v>48</v>
      </c>
      <c r="H1380" t="s">
        <v>13</v>
      </c>
      <c r="I1380" t="s">
        <v>14</v>
      </c>
      <c r="J1380" t="s">
        <v>19</v>
      </c>
      <c r="K1380">
        <v>6862</v>
      </c>
      <c r="L1380">
        <v>30</v>
      </c>
      <c r="M1380">
        <v>205860</v>
      </c>
      <c r="N1380" t="s">
        <v>18</v>
      </c>
    </row>
    <row r="1381" spans="5:14" x14ac:dyDescent="0.35">
      <c r="E1381" t="s">
        <v>59</v>
      </c>
      <c r="F1381" t="s">
        <v>49</v>
      </c>
      <c r="G1381" t="s">
        <v>48</v>
      </c>
      <c r="H1381" t="s">
        <v>13</v>
      </c>
      <c r="I1381" t="s">
        <v>14</v>
      </c>
      <c r="J1381" t="s">
        <v>20</v>
      </c>
      <c r="K1381">
        <v>8307</v>
      </c>
      <c r="L1381">
        <v>15</v>
      </c>
      <c r="M1381">
        <v>124605</v>
      </c>
      <c r="N1381" t="s">
        <v>18</v>
      </c>
    </row>
    <row r="1382" spans="5:14" x14ac:dyDescent="0.35">
      <c r="E1382" t="s">
        <v>59</v>
      </c>
      <c r="F1382" t="s">
        <v>49</v>
      </c>
      <c r="G1382" t="s">
        <v>48</v>
      </c>
      <c r="H1382" t="s">
        <v>22</v>
      </c>
      <c r="I1382" t="s">
        <v>23</v>
      </c>
      <c r="J1382" t="s">
        <v>24</v>
      </c>
      <c r="K1382">
        <v>14455</v>
      </c>
      <c r="L1382">
        <v>2</v>
      </c>
      <c r="M1382">
        <v>28910</v>
      </c>
      <c r="N1382" t="s">
        <v>16</v>
      </c>
    </row>
    <row r="1383" spans="5:14" x14ac:dyDescent="0.35">
      <c r="E1383" t="s">
        <v>59</v>
      </c>
      <c r="F1383" t="s">
        <v>49</v>
      </c>
      <c r="G1383" t="s">
        <v>48</v>
      </c>
      <c r="H1383" t="s">
        <v>22</v>
      </c>
      <c r="I1383" t="s">
        <v>23</v>
      </c>
      <c r="J1383" t="s">
        <v>25</v>
      </c>
      <c r="K1383">
        <v>6723</v>
      </c>
      <c r="L1383">
        <v>2</v>
      </c>
      <c r="M1383">
        <v>13446</v>
      </c>
      <c r="N1383" t="s">
        <v>16</v>
      </c>
    </row>
    <row r="1384" spans="5:14" x14ac:dyDescent="0.35">
      <c r="E1384" t="s">
        <v>59</v>
      </c>
      <c r="F1384" t="s">
        <v>49</v>
      </c>
      <c r="G1384" t="s">
        <v>48</v>
      </c>
      <c r="H1384" t="s">
        <v>22</v>
      </c>
      <c r="I1384" t="s">
        <v>23</v>
      </c>
      <c r="J1384" t="s">
        <v>26</v>
      </c>
      <c r="K1384">
        <v>14197</v>
      </c>
      <c r="L1384">
        <v>5</v>
      </c>
      <c r="M1384">
        <v>70985</v>
      </c>
      <c r="N1384" t="s">
        <v>21</v>
      </c>
    </row>
    <row r="1385" spans="5:14" x14ac:dyDescent="0.35">
      <c r="E1385" t="s">
        <v>59</v>
      </c>
      <c r="F1385" t="s">
        <v>49</v>
      </c>
      <c r="G1385" t="s">
        <v>48</v>
      </c>
      <c r="H1385" t="s">
        <v>22</v>
      </c>
      <c r="I1385" t="s">
        <v>27</v>
      </c>
      <c r="J1385" t="s">
        <v>28</v>
      </c>
      <c r="K1385">
        <v>12495</v>
      </c>
      <c r="L1385">
        <v>3</v>
      </c>
      <c r="M1385">
        <v>37485</v>
      </c>
      <c r="N1385" t="s">
        <v>16</v>
      </c>
    </row>
    <row r="1386" spans="5:14" x14ac:dyDescent="0.35">
      <c r="E1386" t="s">
        <v>59</v>
      </c>
      <c r="F1386" t="s">
        <v>50</v>
      </c>
      <c r="G1386" t="s">
        <v>48</v>
      </c>
      <c r="H1386" t="s">
        <v>13</v>
      </c>
      <c r="I1386" t="s">
        <v>14</v>
      </c>
      <c r="J1386" t="s">
        <v>15</v>
      </c>
      <c r="K1386">
        <v>8403</v>
      </c>
      <c r="L1386">
        <v>10</v>
      </c>
      <c r="M1386">
        <v>84030</v>
      </c>
      <c r="N1386" t="s">
        <v>18</v>
      </c>
    </row>
    <row r="1387" spans="5:14" x14ac:dyDescent="0.35">
      <c r="E1387" t="s">
        <v>59</v>
      </c>
      <c r="F1387" t="s">
        <v>50</v>
      </c>
      <c r="G1387" t="s">
        <v>48</v>
      </c>
      <c r="H1387" t="s">
        <v>13</v>
      </c>
      <c r="I1387" t="s">
        <v>14</v>
      </c>
      <c r="J1387" t="s">
        <v>17</v>
      </c>
      <c r="K1387">
        <v>5988</v>
      </c>
      <c r="L1387">
        <v>20</v>
      </c>
      <c r="M1387">
        <v>119760</v>
      </c>
      <c r="N1387" t="s">
        <v>18</v>
      </c>
    </row>
    <row r="1388" spans="5:14" x14ac:dyDescent="0.35">
      <c r="E1388" t="s">
        <v>59</v>
      </c>
      <c r="F1388" t="s">
        <v>50</v>
      </c>
      <c r="G1388" t="s">
        <v>48</v>
      </c>
      <c r="H1388" t="s">
        <v>13</v>
      </c>
      <c r="I1388" t="s">
        <v>14</v>
      </c>
      <c r="J1388" t="s">
        <v>19</v>
      </c>
      <c r="K1388">
        <v>10889</v>
      </c>
      <c r="L1388">
        <v>30</v>
      </c>
      <c r="M1388">
        <v>326670</v>
      </c>
      <c r="N1388" t="s">
        <v>18</v>
      </c>
    </row>
    <row r="1389" spans="5:14" x14ac:dyDescent="0.35">
      <c r="E1389" t="s">
        <v>59</v>
      </c>
      <c r="F1389" t="s">
        <v>50</v>
      </c>
      <c r="G1389" t="s">
        <v>48</v>
      </c>
      <c r="H1389" t="s">
        <v>13</v>
      </c>
      <c r="I1389" t="s">
        <v>14</v>
      </c>
      <c r="J1389" t="s">
        <v>20</v>
      </c>
      <c r="K1389">
        <v>6249</v>
      </c>
      <c r="L1389">
        <v>15</v>
      </c>
      <c r="M1389">
        <v>93735</v>
      </c>
      <c r="N1389" t="s">
        <v>16</v>
      </c>
    </row>
    <row r="1390" spans="5:14" x14ac:dyDescent="0.35">
      <c r="E1390" t="s">
        <v>59</v>
      </c>
      <c r="F1390" t="s">
        <v>50</v>
      </c>
      <c r="G1390" t="s">
        <v>48</v>
      </c>
      <c r="H1390" t="s">
        <v>22</v>
      </c>
      <c r="I1390" t="s">
        <v>23</v>
      </c>
      <c r="J1390" t="s">
        <v>24</v>
      </c>
      <c r="K1390">
        <v>9080</v>
      </c>
      <c r="L1390">
        <v>2</v>
      </c>
      <c r="M1390">
        <v>18160</v>
      </c>
      <c r="N1390" t="s">
        <v>18</v>
      </c>
    </row>
    <row r="1391" spans="5:14" x14ac:dyDescent="0.35">
      <c r="E1391" t="s">
        <v>59</v>
      </c>
      <c r="F1391" t="s">
        <v>50</v>
      </c>
      <c r="G1391" t="s">
        <v>48</v>
      </c>
      <c r="H1391" t="s">
        <v>22</v>
      </c>
      <c r="I1391" t="s">
        <v>23</v>
      </c>
      <c r="J1391" t="s">
        <v>25</v>
      </c>
      <c r="K1391">
        <v>6019</v>
      </c>
      <c r="L1391">
        <v>2</v>
      </c>
      <c r="M1391">
        <v>12038</v>
      </c>
      <c r="N1391" t="s">
        <v>21</v>
      </c>
    </row>
    <row r="1392" spans="5:14" x14ac:dyDescent="0.35">
      <c r="E1392" t="s">
        <v>59</v>
      </c>
      <c r="F1392" t="s">
        <v>50</v>
      </c>
      <c r="G1392" t="s">
        <v>48</v>
      </c>
      <c r="H1392" t="s">
        <v>22</v>
      </c>
      <c r="I1392" t="s">
        <v>23</v>
      </c>
      <c r="J1392" t="s">
        <v>26</v>
      </c>
      <c r="K1392">
        <v>12683</v>
      </c>
      <c r="L1392">
        <v>5</v>
      </c>
      <c r="M1392">
        <v>63415</v>
      </c>
      <c r="N1392" t="s">
        <v>21</v>
      </c>
    </row>
    <row r="1393" spans="5:14" x14ac:dyDescent="0.35">
      <c r="E1393" t="s">
        <v>59</v>
      </c>
      <c r="F1393" t="s">
        <v>50</v>
      </c>
      <c r="G1393" t="s">
        <v>48</v>
      </c>
      <c r="H1393" t="s">
        <v>22</v>
      </c>
      <c r="I1393" t="s">
        <v>27</v>
      </c>
      <c r="J1393" t="s">
        <v>28</v>
      </c>
      <c r="K1393">
        <v>8548</v>
      </c>
      <c r="L1393">
        <v>3</v>
      </c>
      <c r="M1393">
        <v>25644</v>
      </c>
      <c r="N1393" t="s">
        <v>16</v>
      </c>
    </row>
    <row r="1394" spans="5:14" x14ac:dyDescent="0.35">
      <c r="E1394" t="s">
        <v>59</v>
      </c>
      <c r="F1394" t="s">
        <v>51</v>
      </c>
      <c r="G1394" t="s">
        <v>48</v>
      </c>
      <c r="H1394" t="s">
        <v>13</v>
      </c>
      <c r="I1394" t="s">
        <v>14</v>
      </c>
      <c r="J1394" t="s">
        <v>15</v>
      </c>
      <c r="K1394">
        <v>12828</v>
      </c>
      <c r="L1394">
        <v>10</v>
      </c>
      <c r="M1394">
        <v>128280</v>
      </c>
      <c r="N1394" t="s">
        <v>16</v>
      </c>
    </row>
    <row r="1395" spans="5:14" x14ac:dyDescent="0.35">
      <c r="E1395" t="s">
        <v>59</v>
      </c>
      <c r="F1395" t="s">
        <v>51</v>
      </c>
      <c r="G1395" t="s">
        <v>48</v>
      </c>
      <c r="H1395" t="s">
        <v>13</v>
      </c>
      <c r="I1395" t="s">
        <v>14</v>
      </c>
      <c r="J1395" t="s">
        <v>17</v>
      </c>
      <c r="K1395">
        <v>12028</v>
      </c>
      <c r="L1395">
        <v>20</v>
      </c>
      <c r="M1395">
        <v>240560</v>
      </c>
      <c r="N1395" t="s">
        <v>21</v>
      </c>
    </row>
    <row r="1396" spans="5:14" x14ac:dyDescent="0.35">
      <c r="E1396" t="s">
        <v>59</v>
      </c>
      <c r="F1396" t="s">
        <v>51</v>
      </c>
      <c r="G1396" t="s">
        <v>48</v>
      </c>
      <c r="H1396" t="s">
        <v>13</v>
      </c>
      <c r="I1396" t="s">
        <v>14</v>
      </c>
      <c r="J1396" t="s">
        <v>19</v>
      </c>
      <c r="K1396">
        <v>5419</v>
      </c>
      <c r="L1396">
        <v>30</v>
      </c>
      <c r="M1396">
        <v>162570</v>
      </c>
      <c r="N1396" t="s">
        <v>21</v>
      </c>
    </row>
    <row r="1397" spans="5:14" x14ac:dyDescent="0.35">
      <c r="E1397" t="s">
        <v>59</v>
      </c>
      <c r="F1397" t="s">
        <v>51</v>
      </c>
      <c r="G1397" t="s">
        <v>48</v>
      </c>
      <c r="H1397" t="s">
        <v>13</v>
      </c>
      <c r="I1397" t="s">
        <v>14</v>
      </c>
      <c r="J1397" t="s">
        <v>20</v>
      </c>
      <c r="K1397">
        <v>5619</v>
      </c>
      <c r="L1397">
        <v>15</v>
      </c>
      <c r="M1397">
        <v>84285</v>
      </c>
      <c r="N1397" t="s">
        <v>21</v>
      </c>
    </row>
    <row r="1398" spans="5:14" x14ac:dyDescent="0.35">
      <c r="E1398" t="s">
        <v>59</v>
      </c>
      <c r="F1398" t="s">
        <v>51</v>
      </c>
      <c r="G1398" t="s">
        <v>48</v>
      </c>
      <c r="H1398" t="s">
        <v>22</v>
      </c>
      <c r="I1398" t="s">
        <v>23</v>
      </c>
      <c r="J1398" t="s">
        <v>24</v>
      </c>
      <c r="K1398">
        <v>5471</v>
      </c>
      <c r="L1398">
        <v>2</v>
      </c>
      <c r="M1398">
        <v>10942</v>
      </c>
      <c r="N1398" t="s">
        <v>16</v>
      </c>
    </row>
    <row r="1399" spans="5:14" x14ac:dyDescent="0.35">
      <c r="E1399" t="s">
        <v>59</v>
      </c>
      <c r="F1399" t="s">
        <v>51</v>
      </c>
      <c r="G1399" t="s">
        <v>48</v>
      </c>
      <c r="H1399" t="s">
        <v>22</v>
      </c>
      <c r="I1399" t="s">
        <v>23</v>
      </c>
      <c r="J1399" t="s">
        <v>25</v>
      </c>
      <c r="K1399">
        <v>9135</v>
      </c>
      <c r="L1399">
        <v>2</v>
      </c>
      <c r="M1399">
        <v>18270</v>
      </c>
      <c r="N1399" t="s">
        <v>21</v>
      </c>
    </row>
    <row r="1400" spans="5:14" x14ac:dyDescent="0.35">
      <c r="E1400" t="s">
        <v>59</v>
      </c>
      <c r="F1400" t="s">
        <v>51</v>
      </c>
      <c r="G1400" t="s">
        <v>48</v>
      </c>
      <c r="H1400" t="s">
        <v>22</v>
      </c>
      <c r="I1400" t="s">
        <v>23</v>
      </c>
      <c r="J1400" t="s">
        <v>26</v>
      </c>
      <c r="K1400">
        <v>9482</v>
      </c>
      <c r="L1400">
        <v>5</v>
      </c>
      <c r="M1400">
        <v>47410</v>
      </c>
      <c r="N1400" t="s">
        <v>16</v>
      </c>
    </row>
    <row r="1401" spans="5:14" x14ac:dyDescent="0.35">
      <c r="E1401" t="s">
        <v>59</v>
      </c>
      <c r="F1401" t="s">
        <v>51</v>
      </c>
      <c r="G1401" t="s">
        <v>48</v>
      </c>
      <c r="H1401" t="s">
        <v>22</v>
      </c>
      <c r="I1401" t="s">
        <v>27</v>
      </c>
      <c r="J1401" t="s">
        <v>28</v>
      </c>
      <c r="K1401">
        <v>13779</v>
      </c>
      <c r="L1401">
        <v>3</v>
      </c>
      <c r="M1401">
        <v>41337</v>
      </c>
      <c r="N1401" t="s">
        <v>18</v>
      </c>
    </row>
    <row r="1402" spans="5:14" x14ac:dyDescent="0.35">
      <c r="E1402" t="s">
        <v>59</v>
      </c>
      <c r="F1402" t="s">
        <v>52</v>
      </c>
      <c r="G1402" t="s">
        <v>48</v>
      </c>
      <c r="H1402" t="s">
        <v>13</v>
      </c>
      <c r="I1402" t="s">
        <v>14</v>
      </c>
      <c r="J1402" t="s">
        <v>15</v>
      </c>
      <c r="K1402">
        <v>6640</v>
      </c>
      <c r="L1402">
        <v>10</v>
      </c>
      <c r="M1402">
        <v>66400</v>
      </c>
      <c r="N1402" t="s">
        <v>18</v>
      </c>
    </row>
    <row r="1403" spans="5:14" x14ac:dyDescent="0.35">
      <c r="E1403" t="s">
        <v>59</v>
      </c>
      <c r="F1403" t="s">
        <v>52</v>
      </c>
      <c r="G1403" t="s">
        <v>48</v>
      </c>
      <c r="H1403" t="s">
        <v>13</v>
      </c>
      <c r="I1403" t="s">
        <v>14</v>
      </c>
      <c r="J1403" t="s">
        <v>17</v>
      </c>
      <c r="K1403">
        <v>12234</v>
      </c>
      <c r="L1403">
        <v>20</v>
      </c>
      <c r="M1403">
        <v>244680</v>
      </c>
      <c r="N1403" t="s">
        <v>18</v>
      </c>
    </row>
    <row r="1404" spans="5:14" x14ac:dyDescent="0.35">
      <c r="E1404" t="s">
        <v>59</v>
      </c>
      <c r="F1404" t="s">
        <v>52</v>
      </c>
      <c r="G1404" t="s">
        <v>48</v>
      </c>
      <c r="H1404" t="s">
        <v>13</v>
      </c>
      <c r="I1404" t="s">
        <v>14</v>
      </c>
      <c r="J1404" t="s">
        <v>19</v>
      </c>
      <c r="K1404">
        <v>6301</v>
      </c>
      <c r="L1404">
        <v>30</v>
      </c>
      <c r="M1404">
        <v>189030</v>
      </c>
      <c r="N1404" t="s">
        <v>16</v>
      </c>
    </row>
    <row r="1405" spans="5:14" x14ac:dyDescent="0.35">
      <c r="E1405" t="s">
        <v>59</v>
      </c>
      <c r="F1405" t="s">
        <v>52</v>
      </c>
      <c r="G1405" t="s">
        <v>48</v>
      </c>
      <c r="H1405" t="s">
        <v>13</v>
      </c>
      <c r="I1405" t="s">
        <v>14</v>
      </c>
      <c r="J1405" t="s">
        <v>20</v>
      </c>
      <c r="K1405">
        <v>14500</v>
      </c>
      <c r="L1405">
        <v>15</v>
      </c>
      <c r="M1405">
        <v>217500</v>
      </c>
      <c r="N1405" t="s">
        <v>16</v>
      </c>
    </row>
    <row r="1406" spans="5:14" x14ac:dyDescent="0.35">
      <c r="E1406" t="s">
        <v>59</v>
      </c>
      <c r="F1406" t="s">
        <v>52</v>
      </c>
      <c r="G1406" t="s">
        <v>48</v>
      </c>
      <c r="H1406" t="s">
        <v>22</v>
      </c>
      <c r="I1406" t="s">
        <v>23</v>
      </c>
      <c r="J1406" t="s">
        <v>24</v>
      </c>
      <c r="K1406">
        <v>9926</v>
      </c>
      <c r="L1406">
        <v>2</v>
      </c>
      <c r="M1406">
        <v>19852</v>
      </c>
      <c r="N1406" t="s">
        <v>21</v>
      </c>
    </row>
    <row r="1407" spans="5:14" x14ac:dyDescent="0.35">
      <c r="E1407" t="s">
        <v>59</v>
      </c>
      <c r="F1407" t="s">
        <v>52</v>
      </c>
      <c r="G1407" t="s">
        <v>48</v>
      </c>
      <c r="H1407" t="s">
        <v>22</v>
      </c>
      <c r="I1407" t="s">
        <v>23</v>
      </c>
      <c r="J1407" t="s">
        <v>25</v>
      </c>
      <c r="K1407">
        <v>10685</v>
      </c>
      <c r="L1407">
        <v>2</v>
      </c>
      <c r="M1407">
        <v>21370</v>
      </c>
      <c r="N1407" t="s">
        <v>21</v>
      </c>
    </row>
    <row r="1408" spans="5:14" x14ac:dyDescent="0.35">
      <c r="E1408" t="s">
        <v>59</v>
      </c>
      <c r="F1408" t="s">
        <v>52</v>
      </c>
      <c r="G1408" t="s">
        <v>48</v>
      </c>
      <c r="H1408" t="s">
        <v>22</v>
      </c>
      <c r="I1408" t="s">
        <v>23</v>
      </c>
      <c r="J1408" t="s">
        <v>26</v>
      </c>
      <c r="K1408">
        <v>9593</v>
      </c>
      <c r="L1408">
        <v>5</v>
      </c>
      <c r="M1408">
        <v>47965</v>
      </c>
      <c r="N1408" t="s">
        <v>21</v>
      </c>
    </row>
    <row r="1409" spans="5:14" x14ac:dyDescent="0.35">
      <c r="E1409" t="s">
        <v>59</v>
      </c>
      <c r="F1409" t="s">
        <v>52</v>
      </c>
      <c r="G1409" t="s">
        <v>48</v>
      </c>
      <c r="H1409" t="s">
        <v>22</v>
      </c>
      <c r="I1409" t="s">
        <v>27</v>
      </c>
      <c r="J1409" t="s">
        <v>28</v>
      </c>
      <c r="K1409">
        <v>5541</v>
      </c>
      <c r="L1409">
        <v>3</v>
      </c>
      <c r="M1409">
        <v>16623</v>
      </c>
      <c r="N1409" t="s">
        <v>21</v>
      </c>
    </row>
    <row r="1410" spans="5:14" x14ac:dyDescent="0.35">
      <c r="E1410" t="s">
        <v>60</v>
      </c>
      <c r="F1410" t="s">
        <v>11</v>
      </c>
      <c r="G1410" t="s">
        <v>12</v>
      </c>
      <c r="H1410" t="s">
        <v>13</v>
      </c>
      <c r="I1410" t="s">
        <v>14</v>
      </c>
      <c r="J1410" t="s">
        <v>15</v>
      </c>
      <c r="K1410">
        <v>7490</v>
      </c>
      <c r="L1410">
        <v>10</v>
      </c>
      <c r="M1410">
        <v>74900</v>
      </c>
      <c r="N1410" t="s">
        <v>16</v>
      </c>
    </row>
    <row r="1411" spans="5:14" x14ac:dyDescent="0.35">
      <c r="E1411" t="s">
        <v>60</v>
      </c>
      <c r="F1411" t="s">
        <v>11</v>
      </c>
      <c r="G1411" t="s">
        <v>12</v>
      </c>
      <c r="H1411" t="s">
        <v>13</v>
      </c>
      <c r="I1411" t="s">
        <v>14</v>
      </c>
      <c r="J1411" t="s">
        <v>17</v>
      </c>
      <c r="K1411">
        <v>6282</v>
      </c>
      <c r="L1411">
        <v>20</v>
      </c>
      <c r="M1411">
        <v>125640</v>
      </c>
      <c r="N1411" t="s">
        <v>18</v>
      </c>
    </row>
    <row r="1412" spans="5:14" x14ac:dyDescent="0.35">
      <c r="E1412" t="s">
        <v>60</v>
      </c>
      <c r="F1412" t="s">
        <v>11</v>
      </c>
      <c r="G1412" t="s">
        <v>12</v>
      </c>
      <c r="H1412" t="s">
        <v>13</v>
      </c>
      <c r="I1412" t="s">
        <v>14</v>
      </c>
      <c r="J1412" t="s">
        <v>19</v>
      </c>
      <c r="K1412">
        <v>12474</v>
      </c>
      <c r="L1412">
        <v>30</v>
      </c>
      <c r="M1412">
        <v>374220</v>
      </c>
      <c r="N1412" t="s">
        <v>18</v>
      </c>
    </row>
    <row r="1413" spans="5:14" x14ac:dyDescent="0.35">
      <c r="E1413" t="s">
        <v>60</v>
      </c>
      <c r="F1413" t="s">
        <v>11</v>
      </c>
      <c r="G1413" t="s">
        <v>12</v>
      </c>
      <c r="H1413" t="s">
        <v>13</v>
      </c>
      <c r="I1413" t="s">
        <v>14</v>
      </c>
      <c r="J1413" t="s">
        <v>20</v>
      </c>
      <c r="K1413">
        <v>6432</v>
      </c>
      <c r="L1413">
        <v>15</v>
      </c>
      <c r="M1413">
        <v>96480</v>
      </c>
      <c r="N1413" t="s">
        <v>21</v>
      </c>
    </row>
    <row r="1414" spans="5:14" x14ac:dyDescent="0.35">
      <c r="E1414" t="s">
        <v>60</v>
      </c>
      <c r="F1414" t="s">
        <v>11</v>
      </c>
      <c r="G1414" t="s">
        <v>12</v>
      </c>
      <c r="H1414" t="s">
        <v>22</v>
      </c>
      <c r="I1414" t="s">
        <v>23</v>
      </c>
      <c r="J1414" t="s">
        <v>24</v>
      </c>
      <c r="K1414">
        <v>12287</v>
      </c>
      <c r="L1414">
        <v>2</v>
      </c>
      <c r="M1414">
        <v>24574</v>
      </c>
      <c r="N1414" t="s">
        <v>21</v>
      </c>
    </row>
    <row r="1415" spans="5:14" x14ac:dyDescent="0.35">
      <c r="E1415" t="s">
        <v>60</v>
      </c>
      <c r="F1415" t="s">
        <v>11</v>
      </c>
      <c r="G1415" t="s">
        <v>12</v>
      </c>
      <c r="H1415" t="s">
        <v>22</v>
      </c>
      <c r="I1415" t="s">
        <v>23</v>
      </c>
      <c r="J1415" t="s">
        <v>25</v>
      </c>
      <c r="K1415">
        <v>13901</v>
      </c>
      <c r="L1415">
        <v>2</v>
      </c>
      <c r="M1415">
        <v>27802</v>
      </c>
      <c r="N1415" t="s">
        <v>18</v>
      </c>
    </row>
    <row r="1416" spans="5:14" x14ac:dyDescent="0.35">
      <c r="E1416" t="s">
        <v>60</v>
      </c>
      <c r="F1416" t="s">
        <v>11</v>
      </c>
      <c r="G1416" t="s">
        <v>12</v>
      </c>
      <c r="H1416" t="s">
        <v>22</v>
      </c>
      <c r="I1416" t="s">
        <v>23</v>
      </c>
      <c r="J1416" t="s">
        <v>26</v>
      </c>
      <c r="K1416">
        <v>6917</v>
      </c>
      <c r="L1416">
        <v>5</v>
      </c>
      <c r="M1416">
        <v>34585</v>
      </c>
      <c r="N1416" t="s">
        <v>18</v>
      </c>
    </row>
    <row r="1417" spans="5:14" x14ac:dyDescent="0.35">
      <c r="E1417" t="s">
        <v>60</v>
      </c>
      <c r="F1417" t="s">
        <v>11</v>
      </c>
      <c r="G1417" t="s">
        <v>12</v>
      </c>
      <c r="H1417" t="s">
        <v>22</v>
      </c>
      <c r="I1417" t="s">
        <v>27</v>
      </c>
      <c r="J1417" t="s">
        <v>28</v>
      </c>
      <c r="K1417">
        <v>12551</v>
      </c>
      <c r="L1417">
        <v>3</v>
      </c>
      <c r="M1417">
        <v>37653</v>
      </c>
      <c r="N1417" t="s">
        <v>18</v>
      </c>
    </row>
    <row r="1418" spans="5:14" x14ac:dyDescent="0.35">
      <c r="E1418" t="s">
        <v>60</v>
      </c>
      <c r="F1418" t="s">
        <v>29</v>
      </c>
      <c r="G1418" t="s">
        <v>12</v>
      </c>
      <c r="H1418" t="s">
        <v>13</v>
      </c>
      <c r="I1418" t="s">
        <v>14</v>
      </c>
      <c r="J1418" t="s">
        <v>15</v>
      </c>
      <c r="K1418">
        <v>13701</v>
      </c>
      <c r="L1418">
        <v>10</v>
      </c>
      <c r="M1418">
        <v>137010</v>
      </c>
      <c r="N1418" t="s">
        <v>18</v>
      </c>
    </row>
    <row r="1419" spans="5:14" x14ac:dyDescent="0.35">
      <c r="E1419" t="s">
        <v>60</v>
      </c>
      <c r="F1419" t="s">
        <v>29</v>
      </c>
      <c r="G1419" t="s">
        <v>12</v>
      </c>
      <c r="H1419" t="s">
        <v>13</v>
      </c>
      <c r="I1419" t="s">
        <v>14</v>
      </c>
      <c r="J1419" t="s">
        <v>17</v>
      </c>
      <c r="K1419">
        <v>10710</v>
      </c>
      <c r="L1419">
        <v>20</v>
      </c>
      <c r="M1419">
        <v>214200</v>
      </c>
      <c r="N1419" t="s">
        <v>21</v>
      </c>
    </row>
    <row r="1420" spans="5:14" x14ac:dyDescent="0.35">
      <c r="E1420" t="s">
        <v>60</v>
      </c>
      <c r="F1420" t="s">
        <v>29</v>
      </c>
      <c r="G1420" t="s">
        <v>12</v>
      </c>
      <c r="H1420" t="s">
        <v>13</v>
      </c>
      <c r="I1420" t="s">
        <v>14</v>
      </c>
      <c r="J1420" t="s">
        <v>19</v>
      </c>
      <c r="K1420">
        <v>9827</v>
      </c>
      <c r="L1420">
        <v>30</v>
      </c>
      <c r="M1420">
        <v>294810</v>
      </c>
      <c r="N1420" t="s">
        <v>21</v>
      </c>
    </row>
    <row r="1421" spans="5:14" x14ac:dyDescent="0.35">
      <c r="E1421" t="s">
        <v>60</v>
      </c>
      <c r="F1421" t="s">
        <v>29</v>
      </c>
      <c r="G1421" t="s">
        <v>12</v>
      </c>
      <c r="H1421" t="s">
        <v>13</v>
      </c>
      <c r="I1421" t="s">
        <v>14</v>
      </c>
      <c r="J1421" t="s">
        <v>20</v>
      </c>
      <c r="K1421">
        <v>12579</v>
      </c>
      <c r="L1421">
        <v>15</v>
      </c>
      <c r="M1421">
        <v>188685</v>
      </c>
      <c r="N1421" t="s">
        <v>18</v>
      </c>
    </row>
    <row r="1422" spans="5:14" x14ac:dyDescent="0.35">
      <c r="E1422" t="s">
        <v>60</v>
      </c>
      <c r="F1422" t="s">
        <v>29</v>
      </c>
      <c r="G1422" t="s">
        <v>12</v>
      </c>
      <c r="H1422" t="s">
        <v>22</v>
      </c>
      <c r="I1422" t="s">
        <v>23</v>
      </c>
      <c r="J1422" t="s">
        <v>24</v>
      </c>
      <c r="K1422">
        <v>8918</v>
      </c>
      <c r="L1422">
        <v>2</v>
      </c>
      <c r="M1422">
        <v>17836</v>
      </c>
      <c r="N1422" t="s">
        <v>18</v>
      </c>
    </row>
    <row r="1423" spans="5:14" x14ac:dyDescent="0.35">
      <c r="E1423" t="s">
        <v>60</v>
      </c>
      <c r="F1423" t="s">
        <v>29</v>
      </c>
      <c r="G1423" t="s">
        <v>12</v>
      </c>
      <c r="H1423" t="s">
        <v>22</v>
      </c>
      <c r="I1423" t="s">
        <v>23</v>
      </c>
      <c r="J1423" t="s">
        <v>25</v>
      </c>
      <c r="K1423">
        <v>10355</v>
      </c>
      <c r="L1423">
        <v>2</v>
      </c>
      <c r="M1423">
        <v>20710</v>
      </c>
      <c r="N1423" t="s">
        <v>21</v>
      </c>
    </row>
    <row r="1424" spans="5:14" x14ac:dyDescent="0.35">
      <c r="E1424" t="s">
        <v>60</v>
      </c>
      <c r="F1424" t="s">
        <v>29</v>
      </c>
      <c r="G1424" t="s">
        <v>12</v>
      </c>
      <c r="H1424" t="s">
        <v>22</v>
      </c>
      <c r="I1424" t="s">
        <v>23</v>
      </c>
      <c r="J1424" t="s">
        <v>26</v>
      </c>
      <c r="K1424">
        <v>5747</v>
      </c>
      <c r="L1424">
        <v>5</v>
      </c>
      <c r="M1424">
        <v>28735</v>
      </c>
      <c r="N1424" t="s">
        <v>16</v>
      </c>
    </row>
    <row r="1425" spans="5:14" x14ac:dyDescent="0.35">
      <c r="E1425" t="s">
        <v>60</v>
      </c>
      <c r="F1425" t="s">
        <v>29</v>
      </c>
      <c r="G1425" t="s">
        <v>12</v>
      </c>
      <c r="H1425" t="s">
        <v>22</v>
      </c>
      <c r="I1425" t="s">
        <v>27</v>
      </c>
      <c r="J1425" t="s">
        <v>28</v>
      </c>
      <c r="K1425">
        <v>5358</v>
      </c>
      <c r="L1425">
        <v>3</v>
      </c>
      <c r="M1425">
        <v>16074</v>
      </c>
      <c r="N1425" t="s">
        <v>18</v>
      </c>
    </row>
    <row r="1426" spans="5:14" x14ac:dyDescent="0.35">
      <c r="E1426" t="s">
        <v>60</v>
      </c>
      <c r="F1426" t="s">
        <v>30</v>
      </c>
      <c r="G1426" t="s">
        <v>12</v>
      </c>
      <c r="H1426" t="s">
        <v>13</v>
      </c>
      <c r="I1426" t="s">
        <v>14</v>
      </c>
      <c r="J1426" t="s">
        <v>15</v>
      </c>
      <c r="K1426">
        <v>7381</v>
      </c>
      <c r="L1426">
        <v>10</v>
      </c>
      <c r="M1426">
        <v>73810</v>
      </c>
      <c r="N1426" t="s">
        <v>16</v>
      </c>
    </row>
    <row r="1427" spans="5:14" x14ac:dyDescent="0.35">
      <c r="E1427" t="s">
        <v>60</v>
      </c>
      <c r="F1427" t="s">
        <v>30</v>
      </c>
      <c r="G1427" t="s">
        <v>12</v>
      </c>
      <c r="H1427" t="s">
        <v>13</v>
      </c>
      <c r="I1427" t="s">
        <v>14</v>
      </c>
      <c r="J1427" t="s">
        <v>17</v>
      </c>
      <c r="K1427">
        <v>12280</v>
      </c>
      <c r="L1427">
        <v>20</v>
      </c>
      <c r="M1427">
        <v>245600</v>
      </c>
      <c r="N1427" t="s">
        <v>18</v>
      </c>
    </row>
    <row r="1428" spans="5:14" x14ac:dyDescent="0.35">
      <c r="E1428" t="s">
        <v>60</v>
      </c>
      <c r="F1428" t="s">
        <v>30</v>
      </c>
      <c r="G1428" t="s">
        <v>12</v>
      </c>
      <c r="H1428" t="s">
        <v>13</v>
      </c>
      <c r="I1428" t="s">
        <v>14</v>
      </c>
      <c r="J1428" t="s">
        <v>19</v>
      </c>
      <c r="K1428">
        <v>6770</v>
      </c>
      <c r="L1428">
        <v>30</v>
      </c>
      <c r="M1428">
        <v>203100</v>
      </c>
      <c r="N1428" t="s">
        <v>21</v>
      </c>
    </row>
    <row r="1429" spans="5:14" x14ac:dyDescent="0.35">
      <c r="E1429" t="s">
        <v>60</v>
      </c>
      <c r="F1429" t="s">
        <v>30</v>
      </c>
      <c r="G1429" t="s">
        <v>12</v>
      </c>
      <c r="H1429" t="s">
        <v>13</v>
      </c>
      <c r="I1429" t="s">
        <v>14</v>
      </c>
      <c r="J1429" t="s">
        <v>20</v>
      </c>
      <c r="K1429">
        <v>5808</v>
      </c>
      <c r="L1429">
        <v>15</v>
      </c>
      <c r="M1429">
        <v>87120</v>
      </c>
      <c r="N1429" t="s">
        <v>21</v>
      </c>
    </row>
    <row r="1430" spans="5:14" x14ac:dyDescent="0.35">
      <c r="E1430" t="s">
        <v>60</v>
      </c>
      <c r="F1430" t="s">
        <v>30</v>
      </c>
      <c r="G1430" t="s">
        <v>12</v>
      </c>
      <c r="H1430" t="s">
        <v>22</v>
      </c>
      <c r="I1430" t="s">
        <v>23</v>
      </c>
      <c r="J1430" t="s">
        <v>24</v>
      </c>
      <c r="K1430">
        <v>8285</v>
      </c>
      <c r="L1430">
        <v>2</v>
      </c>
      <c r="M1430">
        <v>16570</v>
      </c>
      <c r="N1430" t="s">
        <v>16</v>
      </c>
    </row>
    <row r="1431" spans="5:14" x14ac:dyDescent="0.35">
      <c r="E1431" t="s">
        <v>60</v>
      </c>
      <c r="F1431" t="s">
        <v>30</v>
      </c>
      <c r="G1431" t="s">
        <v>12</v>
      </c>
      <c r="H1431" t="s">
        <v>22</v>
      </c>
      <c r="I1431" t="s">
        <v>23</v>
      </c>
      <c r="J1431" t="s">
        <v>25</v>
      </c>
      <c r="K1431">
        <v>9775</v>
      </c>
      <c r="L1431">
        <v>2</v>
      </c>
      <c r="M1431">
        <v>19550</v>
      </c>
      <c r="N1431" t="s">
        <v>18</v>
      </c>
    </row>
    <row r="1432" spans="5:14" x14ac:dyDescent="0.35">
      <c r="E1432" t="s">
        <v>60</v>
      </c>
      <c r="F1432" t="s">
        <v>30</v>
      </c>
      <c r="G1432" t="s">
        <v>12</v>
      </c>
      <c r="H1432" t="s">
        <v>22</v>
      </c>
      <c r="I1432" t="s">
        <v>23</v>
      </c>
      <c r="J1432" t="s">
        <v>26</v>
      </c>
      <c r="K1432">
        <v>14117</v>
      </c>
      <c r="L1432">
        <v>5</v>
      </c>
      <c r="M1432">
        <v>70585</v>
      </c>
      <c r="N1432" t="s">
        <v>16</v>
      </c>
    </row>
    <row r="1433" spans="5:14" x14ac:dyDescent="0.35">
      <c r="E1433" t="s">
        <v>60</v>
      </c>
      <c r="F1433" t="s">
        <v>30</v>
      </c>
      <c r="G1433" t="s">
        <v>12</v>
      </c>
      <c r="H1433" t="s">
        <v>22</v>
      </c>
      <c r="I1433" t="s">
        <v>27</v>
      </c>
      <c r="J1433" t="s">
        <v>28</v>
      </c>
      <c r="K1433">
        <v>9627</v>
      </c>
      <c r="L1433">
        <v>3</v>
      </c>
      <c r="M1433">
        <v>28881</v>
      </c>
      <c r="N1433" t="s">
        <v>21</v>
      </c>
    </row>
    <row r="1434" spans="5:14" x14ac:dyDescent="0.35">
      <c r="E1434" t="s">
        <v>60</v>
      </c>
      <c r="F1434" t="s">
        <v>31</v>
      </c>
      <c r="G1434" t="s">
        <v>12</v>
      </c>
      <c r="H1434" t="s">
        <v>13</v>
      </c>
      <c r="I1434" t="s">
        <v>14</v>
      </c>
      <c r="J1434" t="s">
        <v>15</v>
      </c>
      <c r="K1434">
        <v>9034</v>
      </c>
      <c r="L1434">
        <v>10</v>
      </c>
      <c r="M1434">
        <v>90340</v>
      </c>
      <c r="N1434" t="s">
        <v>21</v>
      </c>
    </row>
    <row r="1435" spans="5:14" x14ac:dyDescent="0.35">
      <c r="E1435" t="s">
        <v>60</v>
      </c>
      <c r="F1435" t="s">
        <v>31</v>
      </c>
      <c r="G1435" t="s">
        <v>12</v>
      </c>
      <c r="H1435" t="s">
        <v>13</v>
      </c>
      <c r="I1435" t="s">
        <v>14</v>
      </c>
      <c r="J1435" t="s">
        <v>17</v>
      </c>
      <c r="K1435">
        <v>14534</v>
      </c>
      <c r="L1435">
        <v>20</v>
      </c>
      <c r="M1435">
        <v>290680</v>
      </c>
      <c r="N1435" t="s">
        <v>16</v>
      </c>
    </row>
    <row r="1436" spans="5:14" x14ac:dyDescent="0.35">
      <c r="E1436" t="s">
        <v>60</v>
      </c>
      <c r="F1436" t="s">
        <v>31</v>
      </c>
      <c r="G1436" t="s">
        <v>12</v>
      </c>
      <c r="H1436" t="s">
        <v>13</v>
      </c>
      <c r="I1436" t="s">
        <v>14</v>
      </c>
      <c r="J1436" t="s">
        <v>19</v>
      </c>
      <c r="K1436">
        <v>5838</v>
      </c>
      <c r="L1436">
        <v>30</v>
      </c>
      <c r="M1436">
        <v>175140</v>
      </c>
      <c r="N1436" t="s">
        <v>18</v>
      </c>
    </row>
    <row r="1437" spans="5:14" x14ac:dyDescent="0.35">
      <c r="E1437" t="s">
        <v>60</v>
      </c>
      <c r="F1437" t="s">
        <v>31</v>
      </c>
      <c r="G1437" t="s">
        <v>12</v>
      </c>
      <c r="H1437" t="s">
        <v>13</v>
      </c>
      <c r="I1437" t="s">
        <v>14</v>
      </c>
      <c r="J1437" t="s">
        <v>20</v>
      </c>
      <c r="K1437">
        <v>8682</v>
      </c>
      <c r="L1437">
        <v>15</v>
      </c>
      <c r="M1437">
        <v>130230</v>
      </c>
      <c r="N1437" t="s">
        <v>16</v>
      </c>
    </row>
    <row r="1438" spans="5:14" x14ac:dyDescent="0.35">
      <c r="E1438" t="s">
        <v>60</v>
      </c>
      <c r="F1438" t="s">
        <v>31</v>
      </c>
      <c r="G1438" t="s">
        <v>12</v>
      </c>
      <c r="H1438" t="s">
        <v>22</v>
      </c>
      <c r="I1438" t="s">
        <v>23</v>
      </c>
      <c r="J1438" t="s">
        <v>24</v>
      </c>
      <c r="K1438">
        <v>13457</v>
      </c>
      <c r="L1438">
        <v>2</v>
      </c>
      <c r="M1438">
        <v>26914</v>
      </c>
      <c r="N1438" t="s">
        <v>18</v>
      </c>
    </row>
    <row r="1439" spans="5:14" x14ac:dyDescent="0.35">
      <c r="E1439" t="s">
        <v>60</v>
      </c>
      <c r="F1439" t="s">
        <v>31</v>
      </c>
      <c r="G1439" t="s">
        <v>12</v>
      </c>
      <c r="H1439" t="s">
        <v>22</v>
      </c>
      <c r="I1439" t="s">
        <v>23</v>
      </c>
      <c r="J1439" t="s">
        <v>25</v>
      </c>
      <c r="K1439">
        <v>11113</v>
      </c>
      <c r="L1439">
        <v>2</v>
      </c>
      <c r="M1439">
        <v>22226</v>
      </c>
      <c r="N1439" t="s">
        <v>16</v>
      </c>
    </row>
    <row r="1440" spans="5:14" x14ac:dyDescent="0.35">
      <c r="E1440" t="s">
        <v>60</v>
      </c>
      <c r="F1440" t="s">
        <v>31</v>
      </c>
      <c r="G1440" t="s">
        <v>12</v>
      </c>
      <c r="H1440" t="s">
        <v>22</v>
      </c>
      <c r="I1440" t="s">
        <v>23</v>
      </c>
      <c r="J1440" t="s">
        <v>26</v>
      </c>
      <c r="K1440">
        <v>6839</v>
      </c>
      <c r="L1440">
        <v>5</v>
      </c>
      <c r="M1440">
        <v>34195</v>
      </c>
      <c r="N1440" t="s">
        <v>21</v>
      </c>
    </row>
    <row r="1441" spans="5:14" x14ac:dyDescent="0.35">
      <c r="E1441" t="s">
        <v>60</v>
      </c>
      <c r="F1441" t="s">
        <v>31</v>
      </c>
      <c r="G1441" t="s">
        <v>12</v>
      </c>
      <c r="H1441" t="s">
        <v>22</v>
      </c>
      <c r="I1441" t="s">
        <v>27</v>
      </c>
      <c r="J1441" t="s">
        <v>28</v>
      </c>
      <c r="K1441">
        <v>13218</v>
      </c>
      <c r="L1441">
        <v>3</v>
      </c>
      <c r="M1441">
        <v>39654</v>
      </c>
      <c r="N1441" t="s">
        <v>18</v>
      </c>
    </row>
    <row r="1442" spans="5:14" x14ac:dyDescent="0.35">
      <c r="E1442" t="s">
        <v>60</v>
      </c>
      <c r="F1442" t="s">
        <v>32</v>
      </c>
      <c r="G1442" t="s">
        <v>12</v>
      </c>
      <c r="H1442" t="s">
        <v>13</v>
      </c>
      <c r="I1442" t="s">
        <v>14</v>
      </c>
      <c r="J1442" t="s">
        <v>15</v>
      </c>
      <c r="K1442">
        <v>9408</v>
      </c>
      <c r="L1442">
        <v>10</v>
      </c>
      <c r="M1442">
        <v>94080</v>
      </c>
      <c r="N1442" t="s">
        <v>21</v>
      </c>
    </row>
    <row r="1443" spans="5:14" x14ac:dyDescent="0.35">
      <c r="E1443" t="s">
        <v>60</v>
      </c>
      <c r="F1443" t="s">
        <v>32</v>
      </c>
      <c r="G1443" t="s">
        <v>12</v>
      </c>
      <c r="H1443" t="s">
        <v>13</v>
      </c>
      <c r="I1443" t="s">
        <v>14</v>
      </c>
      <c r="J1443" t="s">
        <v>17</v>
      </c>
      <c r="K1443">
        <v>14278</v>
      </c>
      <c r="L1443">
        <v>20</v>
      </c>
      <c r="M1443">
        <v>285560</v>
      </c>
      <c r="N1443" t="s">
        <v>18</v>
      </c>
    </row>
    <row r="1444" spans="5:14" x14ac:dyDescent="0.35">
      <c r="E1444" t="s">
        <v>60</v>
      </c>
      <c r="F1444" t="s">
        <v>32</v>
      </c>
      <c r="G1444" t="s">
        <v>12</v>
      </c>
      <c r="H1444" t="s">
        <v>13</v>
      </c>
      <c r="I1444" t="s">
        <v>14</v>
      </c>
      <c r="J1444" t="s">
        <v>19</v>
      </c>
      <c r="K1444">
        <v>5346</v>
      </c>
      <c r="L1444">
        <v>30</v>
      </c>
      <c r="M1444">
        <v>160380</v>
      </c>
      <c r="N1444" t="s">
        <v>21</v>
      </c>
    </row>
    <row r="1445" spans="5:14" x14ac:dyDescent="0.35">
      <c r="E1445" t="s">
        <v>60</v>
      </c>
      <c r="F1445" t="s">
        <v>32</v>
      </c>
      <c r="G1445" t="s">
        <v>12</v>
      </c>
      <c r="H1445" t="s">
        <v>13</v>
      </c>
      <c r="I1445" t="s">
        <v>14</v>
      </c>
      <c r="J1445" t="s">
        <v>20</v>
      </c>
      <c r="K1445">
        <v>12329</v>
      </c>
      <c r="L1445">
        <v>15</v>
      </c>
      <c r="M1445">
        <v>184935</v>
      </c>
      <c r="N1445" t="s">
        <v>18</v>
      </c>
    </row>
    <row r="1446" spans="5:14" x14ac:dyDescent="0.35">
      <c r="E1446" t="s">
        <v>60</v>
      </c>
      <c r="F1446" t="s">
        <v>32</v>
      </c>
      <c r="G1446" t="s">
        <v>12</v>
      </c>
      <c r="H1446" t="s">
        <v>22</v>
      </c>
      <c r="I1446" t="s">
        <v>23</v>
      </c>
      <c r="J1446" t="s">
        <v>24</v>
      </c>
      <c r="K1446">
        <v>7343</v>
      </c>
      <c r="L1446">
        <v>2</v>
      </c>
      <c r="M1446">
        <v>14686</v>
      </c>
      <c r="N1446" t="s">
        <v>18</v>
      </c>
    </row>
    <row r="1447" spans="5:14" x14ac:dyDescent="0.35">
      <c r="E1447" t="s">
        <v>60</v>
      </c>
      <c r="F1447" t="s">
        <v>32</v>
      </c>
      <c r="G1447" t="s">
        <v>12</v>
      </c>
      <c r="H1447" t="s">
        <v>22</v>
      </c>
      <c r="I1447" t="s">
        <v>23</v>
      </c>
      <c r="J1447" t="s">
        <v>25</v>
      </c>
      <c r="K1447">
        <v>14351</v>
      </c>
      <c r="L1447">
        <v>2</v>
      </c>
      <c r="M1447">
        <v>28702</v>
      </c>
      <c r="N1447" t="s">
        <v>21</v>
      </c>
    </row>
    <row r="1448" spans="5:14" x14ac:dyDescent="0.35">
      <c r="E1448" t="s">
        <v>60</v>
      </c>
      <c r="F1448" t="s">
        <v>32</v>
      </c>
      <c r="G1448" t="s">
        <v>12</v>
      </c>
      <c r="H1448" t="s">
        <v>22</v>
      </c>
      <c r="I1448" t="s">
        <v>23</v>
      </c>
      <c r="J1448" t="s">
        <v>26</v>
      </c>
      <c r="K1448">
        <v>8394</v>
      </c>
      <c r="L1448">
        <v>5</v>
      </c>
      <c r="M1448">
        <v>41970</v>
      </c>
      <c r="N1448" t="s">
        <v>16</v>
      </c>
    </row>
    <row r="1449" spans="5:14" x14ac:dyDescent="0.35">
      <c r="E1449" t="s">
        <v>60</v>
      </c>
      <c r="F1449" t="s">
        <v>32</v>
      </c>
      <c r="G1449" t="s">
        <v>12</v>
      </c>
      <c r="H1449" t="s">
        <v>22</v>
      </c>
      <c r="I1449" t="s">
        <v>27</v>
      </c>
      <c r="J1449" t="s">
        <v>28</v>
      </c>
      <c r="K1449">
        <v>5480</v>
      </c>
      <c r="L1449">
        <v>3</v>
      </c>
      <c r="M1449">
        <v>16440</v>
      </c>
      <c r="N1449" t="s">
        <v>21</v>
      </c>
    </row>
    <row r="1450" spans="5:14" x14ac:dyDescent="0.35">
      <c r="E1450" t="s">
        <v>60</v>
      </c>
      <c r="F1450" t="s">
        <v>33</v>
      </c>
      <c r="G1450" t="s">
        <v>12</v>
      </c>
      <c r="H1450" t="s">
        <v>13</v>
      </c>
      <c r="I1450" t="s">
        <v>14</v>
      </c>
      <c r="J1450" t="s">
        <v>15</v>
      </c>
      <c r="K1450">
        <v>10360</v>
      </c>
      <c r="L1450">
        <v>10</v>
      </c>
      <c r="M1450">
        <v>103600</v>
      </c>
      <c r="N1450" t="s">
        <v>18</v>
      </c>
    </row>
    <row r="1451" spans="5:14" x14ac:dyDescent="0.35">
      <c r="E1451" t="s">
        <v>60</v>
      </c>
      <c r="F1451" t="s">
        <v>33</v>
      </c>
      <c r="G1451" t="s">
        <v>12</v>
      </c>
      <c r="H1451" t="s">
        <v>13</v>
      </c>
      <c r="I1451" t="s">
        <v>14</v>
      </c>
      <c r="J1451" t="s">
        <v>17</v>
      </c>
      <c r="K1451">
        <v>8441</v>
      </c>
      <c r="L1451">
        <v>20</v>
      </c>
      <c r="M1451">
        <v>168820</v>
      </c>
      <c r="N1451" t="s">
        <v>21</v>
      </c>
    </row>
    <row r="1452" spans="5:14" x14ac:dyDescent="0.35">
      <c r="E1452" t="s">
        <v>60</v>
      </c>
      <c r="F1452" t="s">
        <v>33</v>
      </c>
      <c r="G1452" t="s">
        <v>12</v>
      </c>
      <c r="H1452" t="s">
        <v>13</v>
      </c>
      <c r="I1452" t="s">
        <v>14</v>
      </c>
      <c r="J1452" t="s">
        <v>19</v>
      </c>
      <c r="K1452">
        <v>9093</v>
      </c>
      <c r="L1452">
        <v>30</v>
      </c>
      <c r="M1452">
        <v>272790</v>
      </c>
      <c r="N1452" t="s">
        <v>21</v>
      </c>
    </row>
    <row r="1453" spans="5:14" x14ac:dyDescent="0.35">
      <c r="E1453" t="s">
        <v>60</v>
      </c>
      <c r="F1453" t="s">
        <v>33</v>
      </c>
      <c r="G1453" t="s">
        <v>12</v>
      </c>
      <c r="H1453" t="s">
        <v>13</v>
      </c>
      <c r="I1453" t="s">
        <v>14</v>
      </c>
      <c r="J1453" t="s">
        <v>20</v>
      </c>
      <c r="K1453">
        <v>6042</v>
      </c>
      <c r="L1453">
        <v>15</v>
      </c>
      <c r="M1453">
        <v>90630</v>
      </c>
      <c r="N1453" t="s">
        <v>18</v>
      </c>
    </row>
    <row r="1454" spans="5:14" x14ac:dyDescent="0.35">
      <c r="E1454" t="s">
        <v>60</v>
      </c>
      <c r="F1454" t="s">
        <v>33</v>
      </c>
      <c r="G1454" t="s">
        <v>12</v>
      </c>
      <c r="H1454" t="s">
        <v>22</v>
      </c>
      <c r="I1454" t="s">
        <v>23</v>
      </c>
      <c r="J1454" t="s">
        <v>24</v>
      </c>
      <c r="K1454">
        <v>5961</v>
      </c>
      <c r="L1454">
        <v>2</v>
      </c>
      <c r="M1454">
        <v>11922</v>
      </c>
      <c r="N1454" t="s">
        <v>16</v>
      </c>
    </row>
    <row r="1455" spans="5:14" x14ac:dyDescent="0.35">
      <c r="E1455" t="s">
        <v>60</v>
      </c>
      <c r="F1455" t="s">
        <v>33</v>
      </c>
      <c r="G1455" t="s">
        <v>12</v>
      </c>
      <c r="H1455" t="s">
        <v>22</v>
      </c>
      <c r="I1455" t="s">
        <v>23</v>
      </c>
      <c r="J1455" t="s">
        <v>25</v>
      </c>
      <c r="K1455">
        <v>12267</v>
      </c>
      <c r="L1455">
        <v>2</v>
      </c>
      <c r="M1455">
        <v>24534</v>
      </c>
      <c r="N1455" t="s">
        <v>21</v>
      </c>
    </row>
    <row r="1456" spans="5:14" x14ac:dyDescent="0.35">
      <c r="E1456" t="s">
        <v>60</v>
      </c>
      <c r="F1456" t="s">
        <v>33</v>
      </c>
      <c r="G1456" t="s">
        <v>12</v>
      </c>
      <c r="H1456" t="s">
        <v>22</v>
      </c>
      <c r="I1456" t="s">
        <v>23</v>
      </c>
      <c r="J1456" t="s">
        <v>26</v>
      </c>
      <c r="K1456">
        <v>9080</v>
      </c>
      <c r="L1456">
        <v>5</v>
      </c>
      <c r="M1456">
        <v>45400</v>
      </c>
      <c r="N1456" t="s">
        <v>16</v>
      </c>
    </row>
    <row r="1457" spans="5:14" x14ac:dyDescent="0.35">
      <c r="E1457" t="s">
        <v>60</v>
      </c>
      <c r="F1457" t="s">
        <v>33</v>
      </c>
      <c r="G1457" t="s">
        <v>12</v>
      </c>
      <c r="H1457" t="s">
        <v>22</v>
      </c>
      <c r="I1457" t="s">
        <v>27</v>
      </c>
      <c r="J1457" t="s">
        <v>28</v>
      </c>
      <c r="K1457">
        <v>13249</v>
      </c>
      <c r="L1457">
        <v>3</v>
      </c>
      <c r="M1457">
        <v>39747</v>
      </c>
      <c r="N1457" t="s">
        <v>18</v>
      </c>
    </row>
    <row r="1458" spans="5:14" x14ac:dyDescent="0.35">
      <c r="E1458" t="s">
        <v>60</v>
      </c>
      <c r="F1458" t="s">
        <v>34</v>
      </c>
      <c r="G1458" t="s">
        <v>12</v>
      </c>
      <c r="H1458" t="s">
        <v>13</v>
      </c>
      <c r="I1458" t="s">
        <v>14</v>
      </c>
      <c r="J1458" t="s">
        <v>15</v>
      </c>
      <c r="K1458">
        <v>6036</v>
      </c>
      <c r="L1458">
        <v>10</v>
      </c>
      <c r="M1458">
        <v>60360</v>
      </c>
      <c r="N1458" t="s">
        <v>21</v>
      </c>
    </row>
    <row r="1459" spans="5:14" x14ac:dyDescent="0.35">
      <c r="E1459" t="s">
        <v>60</v>
      </c>
      <c r="F1459" t="s">
        <v>34</v>
      </c>
      <c r="G1459" t="s">
        <v>12</v>
      </c>
      <c r="H1459" t="s">
        <v>13</v>
      </c>
      <c r="I1459" t="s">
        <v>14</v>
      </c>
      <c r="J1459" t="s">
        <v>17</v>
      </c>
      <c r="K1459">
        <v>5839</v>
      </c>
      <c r="L1459">
        <v>20</v>
      </c>
      <c r="M1459">
        <v>116780</v>
      </c>
      <c r="N1459" t="s">
        <v>18</v>
      </c>
    </row>
    <row r="1460" spans="5:14" x14ac:dyDescent="0.35">
      <c r="E1460" t="s">
        <v>60</v>
      </c>
      <c r="F1460" t="s">
        <v>34</v>
      </c>
      <c r="G1460" t="s">
        <v>12</v>
      </c>
      <c r="H1460" t="s">
        <v>13</v>
      </c>
      <c r="I1460" t="s">
        <v>14</v>
      </c>
      <c r="J1460" t="s">
        <v>19</v>
      </c>
      <c r="K1460">
        <v>7803</v>
      </c>
      <c r="L1460">
        <v>30</v>
      </c>
      <c r="M1460">
        <v>234090</v>
      </c>
      <c r="N1460" t="s">
        <v>16</v>
      </c>
    </row>
    <row r="1461" spans="5:14" x14ac:dyDescent="0.35">
      <c r="E1461" t="s">
        <v>60</v>
      </c>
      <c r="F1461" t="s">
        <v>34</v>
      </c>
      <c r="G1461" t="s">
        <v>12</v>
      </c>
      <c r="H1461" t="s">
        <v>13</v>
      </c>
      <c r="I1461" t="s">
        <v>14</v>
      </c>
      <c r="J1461" t="s">
        <v>20</v>
      </c>
      <c r="K1461">
        <v>11138</v>
      </c>
      <c r="L1461">
        <v>15</v>
      </c>
      <c r="M1461">
        <v>167070</v>
      </c>
      <c r="N1461" t="s">
        <v>21</v>
      </c>
    </row>
    <row r="1462" spans="5:14" x14ac:dyDescent="0.35">
      <c r="E1462" t="s">
        <v>60</v>
      </c>
      <c r="F1462" t="s">
        <v>34</v>
      </c>
      <c r="G1462" t="s">
        <v>12</v>
      </c>
      <c r="H1462" t="s">
        <v>22</v>
      </c>
      <c r="I1462" t="s">
        <v>23</v>
      </c>
      <c r="J1462" t="s">
        <v>24</v>
      </c>
      <c r="K1462">
        <v>5413</v>
      </c>
      <c r="L1462">
        <v>2</v>
      </c>
      <c r="M1462">
        <v>10826</v>
      </c>
      <c r="N1462" t="s">
        <v>21</v>
      </c>
    </row>
    <row r="1463" spans="5:14" x14ac:dyDescent="0.35">
      <c r="E1463" t="s">
        <v>60</v>
      </c>
      <c r="F1463" t="s">
        <v>34</v>
      </c>
      <c r="G1463" t="s">
        <v>12</v>
      </c>
      <c r="H1463" t="s">
        <v>22</v>
      </c>
      <c r="I1463" t="s">
        <v>23</v>
      </c>
      <c r="J1463" t="s">
        <v>25</v>
      </c>
      <c r="K1463">
        <v>13590</v>
      </c>
      <c r="L1463">
        <v>2</v>
      </c>
      <c r="M1463">
        <v>27180</v>
      </c>
      <c r="N1463" t="s">
        <v>18</v>
      </c>
    </row>
    <row r="1464" spans="5:14" x14ac:dyDescent="0.35">
      <c r="E1464" t="s">
        <v>60</v>
      </c>
      <c r="F1464" t="s">
        <v>34</v>
      </c>
      <c r="G1464" t="s">
        <v>12</v>
      </c>
      <c r="H1464" t="s">
        <v>22</v>
      </c>
      <c r="I1464" t="s">
        <v>23</v>
      </c>
      <c r="J1464" t="s">
        <v>26</v>
      </c>
      <c r="K1464">
        <v>10646</v>
      </c>
      <c r="L1464">
        <v>5</v>
      </c>
      <c r="M1464">
        <v>53230</v>
      </c>
      <c r="N1464" t="s">
        <v>16</v>
      </c>
    </row>
    <row r="1465" spans="5:14" x14ac:dyDescent="0.35">
      <c r="E1465" t="s">
        <v>60</v>
      </c>
      <c r="F1465" t="s">
        <v>34</v>
      </c>
      <c r="G1465" t="s">
        <v>12</v>
      </c>
      <c r="H1465" t="s">
        <v>22</v>
      </c>
      <c r="I1465" t="s">
        <v>27</v>
      </c>
      <c r="J1465" t="s">
        <v>28</v>
      </c>
      <c r="K1465">
        <v>13341</v>
      </c>
      <c r="L1465">
        <v>3</v>
      </c>
      <c r="M1465">
        <v>40023</v>
      </c>
      <c r="N1465" t="s">
        <v>18</v>
      </c>
    </row>
    <row r="1466" spans="5:14" x14ac:dyDescent="0.35">
      <c r="E1466" t="s">
        <v>60</v>
      </c>
      <c r="F1466" t="s">
        <v>35</v>
      </c>
      <c r="G1466" t="s">
        <v>36</v>
      </c>
      <c r="H1466" t="s">
        <v>13</v>
      </c>
      <c r="I1466" t="s">
        <v>14</v>
      </c>
      <c r="J1466" t="s">
        <v>15</v>
      </c>
      <c r="K1466">
        <v>13958</v>
      </c>
      <c r="L1466">
        <v>10</v>
      </c>
      <c r="M1466">
        <v>139580</v>
      </c>
      <c r="N1466" t="s">
        <v>18</v>
      </c>
    </row>
    <row r="1467" spans="5:14" x14ac:dyDescent="0.35">
      <c r="E1467" t="s">
        <v>60</v>
      </c>
      <c r="F1467" t="s">
        <v>35</v>
      </c>
      <c r="G1467" t="s">
        <v>36</v>
      </c>
      <c r="H1467" t="s">
        <v>13</v>
      </c>
      <c r="I1467" t="s">
        <v>14</v>
      </c>
      <c r="J1467" t="s">
        <v>17</v>
      </c>
      <c r="K1467">
        <v>8117</v>
      </c>
      <c r="L1467">
        <v>20</v>
      </c>
      <c r="M1467">
        <v>162340</v>
      </c>
      <c r="N1467" t="s">
        <v>18</v>
      </c>
    </row>
    <row r="1468" spans="5:14" x14ac:dyDescent="0.35">
      <c r="E1468" t="s">
        <v>60</v>
      </c>
      <c r="F1468" t="s">
        <v>35</v>
      </c>
      <c r="G1468" t="s">
        <v>36</v>
      </c>
      <c r="H1468" t="s">
        <v>13</v>
      </c>
      <c r="I1468" t="s">
        <v>14</v>
      </c>
      <c r="J1468" t="s">
        <v>19</v>
      </c>
      <c r="K1468">
        <v>14241</v>
      </c>
      <c r="L1468">
        <v>30</v>
      </c>
      <c r="M1468">
        <v>427230</v>
      </c>
      <c r="N1468" t="s">
        <v>21</v>
      </c>
    </row>
    <row r="1469" spans="5:14" x14ac:dyDescent="0.35">
      <c r="E1469" t="s">
        <v>60</v>
      </c>
      <c r="F1469" t="s">
        <v>35</v>
      </c>
      <c r="G1469" t="s">
        <v>36</v>
      </c>
      <c r="H1469" t="s">
        <v>13</v>
      </c>
      <c r="I1469" t="s">
        <v>14</v>
      </c>
      <c r="J1469" t="s">
        <v>20</v>
      </c>
      <c r="K1469">
        <v>13396</v>
      </c>
      <c r="L1469">
        <v>15</v>
      </c>
      <c r="M1469">
        <v>200940</v>
      </c>
      <c r="N1469" t="s">
        <v>16</v>
      </c>
    </row>
    <row r="1470" spans="5:14" x14ac:dyDescent="0.35">
      <c r="E1470" t="s">
        <v>60</v>
      </c>
      <c r="F1470" t="s">
        <v>35</v>
      </c>
      <c r="G1470" t="s">
        <v>36</v>
      </c>
      <c r="H1470" t="s">
        <v>22</v>
      </c>
      <c r="I1470" t="s">
        <v>23</v>
      </c>
      <c r="J1470" t="s">
        <v>24</v>
      </c>
      <c r="K1470">
        <v>8224</v>
      </c>
      <c r="L1470">
        <v>2</v>
      </c>
      <c r="M1470">
        <v>16448</v>
      </c>
      <c r="N1470" t="s">
        <v>18</v>
      </c>
    </row>
    <row r="1471" spans="5:14" x14ac:dyDescent="0.35">
      <c r="E1471" t="s">
        <v>60</v>
      </c>
      <c r="F1471" t="s">
        <v>35</v>
      </c>
      <c r="G1471" t="s">
        <v>36</v>
      </c>
      <c r="H1471" t="s">
        <v>22</v>
      </c>
      <c r="I1471" t="s">
        <v>23</v>
      </c>
      <c r="J1471" t="s">
        <v>25</v>
      </c>
      <c r="K1471">
        <v>13697</v>
      </c>
      <c r="L1471">
        <v>2</v>
      </c>
      <c r="M1471">
        <v>27394</v>
      </c>
      <c r="N1471" t="s">
        <v>18</v>
      </c>
    </row>
    <row r="1472" spans="5:14" x14ac:dyDescent="0.35">
      <c r="E1472" t="s">
        <v>60</v>
      </c>
      <c r="F1472" t="s">
        <v>35</v>
      </c>
      <c r="G1472" t="s">
        <v>36</v>
      </c>
      <c r="H1472" t="s">
        <v>22</v>
      </c>
      <c r="I1472" t="s">
        <v>23</v>
      </c>
      <c r="J1472" t="s">
        <v>26</v>
      </c>
      <c r="K1472">
        <v>13213</v>
      </c>
      <c r="L1472">
        <v>5</v>
      </c>
      <c r="M1472">
        <v>66065</v>
      </c>
      <c r="N1472" t="s">
        <v>16</v>
      </c>
    </row>
    <row r="1473" spans="5:14" x14ac:dyDescent="0.35">
      <c r="E1473" t="s">
        <v>60</v>
      </c>
      <c r="F1473" t="s">
        <v>35</v>
      </c>
      <c r="G1473" t="s">
        <v>36</v>
      </c>
      <c r="H1473" t="s">
        <v>22</v>
      </c>
      <c r="I1473" t="s">
        <v>27</v>
      </c>
      <c r="J1473" t="s">
        <v>28</v>
      </c>
      <c r="K1473">
        <v>9535</v>
      </c>
      <c r="L1473">
        <v>3</v>
      </c>
      <c r="M1473">
        <v>28605</v>
      </c>
      <c r="N1473" t="s">
        <v>16</v>
      </c>
    </row>
    <row r="1474" spans="5:14" x14ac:dyDescent="0.35">
      <c r="E1474" t="s">
        <v>60</v>
      </c>
      <c r="F1474" t="s">
        <v>37</v>
      </c>
      <c r="G1474" t="s">
        <v>36</v>
      </c>
      <c r="H1474" t="s">
        <v>13</v>
      </c>
      <c r="I1474" t="s">
        <v>14</v>
      </c>
      <c r="J1474" t="s">
        <v>15</v>
      </c>
      <c r="K1474">
        <v>12502</v>
      </c>
      <c r="L1474">
        <v>10</v>
      </c>
      <c r="M1474">
        <v>125020</v>
      </c>
      <c r="N1474" t="s">
        <v>16</v>
      </c>
    </row>
    <row r="1475" spans="5:14" x14ac:dyDescent="0.35">
      <c r="E1475" t="s">
        <v>60</v>
      </c>
      <c r="F1475" t="s">
        <v>37</v>
      </c>
      <c r="G1475" t="s">
        <v>36</v>
      </c>
      <c r="H1475" t="s">
        <v>13</v>
      </c>
      <c r="I1475" t="s">
        <v>14</v>
      </c>
      <c r="J1475" t="s">
        <v>17</v>
      </c>
      <c r="K1475">
        <v>8283</v>
      </c>
      <c r="L1475">
        <v>20</v>
      </c>
      <c r="M1475">
        <v>165660</v>
      </c>
      <c r="N1475" t="s">
        <v>21</v>
      </c>
    </row>
    <row r="1476" spans="5:14" x14ac:dyDescent="0.35">
      <c r="E1476" t="s">
        <v>60</v>
      </c>
      <c r="F1476" t="s">
        <v>37</v>
      </c>
      <c r="G1476" t="s">
        <v>36</v>
      </c>
      <c r="H1476" t="s">
        <v>13</v>
      </c>
      <c r="I1476" t="s">
        <v>14</v>
      </c>
      <c r="J1476" t="s">
        <v>19</v>
      </c>
      <c r="K1476">
        <v>13520</v>
      </c>
      <c r="L1476">
        <v>30</v>
      </c>
      <c r="M1476">
        <v>405600</v>
      </c>
      <c r="N1476" t="s">
        <v>16</v>
      </c>
    </row>
    <row r="1477" spans="5:14" x14ac:dyDescent="0.35">
      <c r="E1477" t="s">
        <v>60</v>
      </c>
      <c r="F1477" t="s">
        <v>37</v>
      </c>
      <c r="G1477" t="s">
        <v>36</v>
      </c>
      <c r="H1477" t="s">
        <v>13</v>
      </c>
      <c r="I1477" t="s">
        <v>14</v>
      </c>
      <c r="J1477" t="s">
        <v>20</v>
      </c>
      <c r="K1477">
        <v>8423</v>
      </c>
      <c r="L1477">
        <v>15</v>
      </c>
      <c r="M1477">
        <v>126345</v>
      </c>
      <c r="N1477" t="s">
        <v>21</v>
      </c>
    </row>
    <row r="1478" spans="5:14" x14ac:dyDescent="0.35">
      <c r="E1478" t="s">
        <v>60</v>
      </c>
      <c r="F1478" t="s">
        <v>37</v>
      </c>
      <c r="G1478" t="s">
        <v>36</v>
      </c>
      <c r="H1478" t="s">
        <v>22</v>
      </c>
      <c r="I1478" t="s">
        <v>23</v>
      </c>
      <c r="J1478" t="s">
        <v>24</v>
      </c>
      <c r="K1478">
        <v>9898</v>
      </c>
      <c r="L1478">
        <v>2</v>
      </c>
      <c r="M1478">
        <v>19796</v>
      </c>
      <c r="N1478" t="s">
        <v>18</v>
      </c>
    </row>
    <row r="1479" spans="5:14" x14ac:dyDescent="0.35">
      <c r="E1479" t="s">
        <v>60</v>
      </c>
      <c r="F1479" t="s">
        <v>37</v>
      </c>
      <c r="G1479" t="s">
        <v>36</v>
      </c>
      <c r="H1479" t="s">
        <v>22</v>
      </c>
      <c r="I1479" t="s">
        <v>23</v>
      </c>
      <c r="J1479" t="s">
        <v>25</v>
      </c>
      <c r="K1479">
        <v>9593</v>
      </c>
      <c r="L1479">
        <v>2</v>
      </c>
      <c r="M1479">
        <v>19186</v>
      </c>
      <c r="N1479" t="s">
        <v>16</v>
      </c>
    </row>
    <row r="1480" spans="5:14" x14ac:dyDescent="0.35">
      <c r="E1480" t="s">
        <v>60</v>
      </c>
      <c r="F1480" t="s">
        <v>37</v>
      </c>
      <c r="G1480" t="s">
        <v>36</v>
      </c>
      <c r="H1480" t="s">
        <v>22</v>
      </c>
      <c r="I1480" t="s">
        <v>23</v>
      </c>
      <c r="J1480" t="s">
        <v>26</v>
      </c>
      <c r="K1480">
        <v>7845</v>
      </c>
      <c r="L1480">
        <v>5</v>
      </c>
      <c r="M1480">
        <v>39225</v>
      </c>
      <c r="N1480" t="s">
        <v>16</v>
      </c>
    </row>
    <row r="1481" spans="5:14" x14ac:dyDescent="0.35">
      <c r="E1481" t="s">
        <v>60</v>
      </c>
      <c r="F1481" t="s">
        <v>37</v>
      </c>
      <c r="G1481" t="s">
        <v>36</v>
      </c>
      <c r="H1481" t="s">
        <v>22</v>
      </c>
      <c r="I1481" t="s">
        <v>27</v>
      </c>
      <c r="J1481" t="s">
        <v>28</v>
      </c>
      <c r="K1481">
        <v>9497</v>
      </c>
      <c r="L1481">
        <v>3</v>
      </c>
      <c r="M1481">
        <v>28491</v>
      </c>
      <c r="N1481" t="s">
        <v>16</v>
      </c>
    </row>
    <row r="1482" spans="5:14" x14ac:dyDescent="0.35">
      <c r="E1482" t="s">
        <v>60</v>
      </c>
      <c r="F1482" t="s">
        <v>38</v>
      </c>
      <c r="G1482" t="s">
        <v>36</v>
      </c>
      <c r="H1482" t="s">
        <v>13</v>
      </c>
      <c r="I1482" t="s">
        <v>14</v>
      </c>
      <c r="J1482" t="s">
        <v>15</v>
      </c>
      <c r="K1482">
        <v>14778</v>
      </c>
      <c r="L1482">
        <v>10</v>
      </c>
      <c r="M1482">
        <v>147780</v>
      </c>
      <c r="N1482" t="s">
        <v>21</v>
      </c>
    </row>
    <row r="1483" spans="5:14" x14ac:dyDescent="0.35">
      <c r="E1483" t="s">
        <v>60</v>
      </c>
      <c r="F1483" t="s">
        <v>38</v>
      </c>
      <c r="G1483" t="s">
        <v>36</v>
      </c>
      <c r="H1483" t="s">
        <v>13</v>
      </c>
      <c r="I1483" t="s">
        <v>14</v>
      </c>
      <c r="J1483" t="s">
        <v>17</v>
      </c>
      <c r="K1483">
        <v>11630</v>
      </c>
      <c r="L1483">
        <v>20</v>
      </c>
      <c r="M1483">
        <v>232600</v>
      </c>
      <c r="N1483" t="s">
        <v>18</v>
      </c>
    </row>
    <row r="1484" spans="5:14" x14ac:dyDescent="0.35">
      <c r="E1484" t="s">
        <v>60</v>
      </c>
      <c r="F1484" t="s">
        <v>38</v>
      </c>
      <c r="G1484" t="s">
        <v>36</v>
      </c>
      <c r="H1484" t="s">
        <v>13</v>
      </c>
      <c r="I1484" t="s">
        <v>14</v>
      </c>
      <c r="J1484" t="s">
        <v>19</v>
      </c>
      <c r="K1484">
        <v>10989</v>
      </c>
      <c r="L1484">
        <v>30</v>
      </c>
      <c r="M1484">
        <v>329670</v>
      </c>
      <c r="N1484" t="s">
        <v>18</v>
      </c>
    </row>
    <row r="1485" spans="5:14" x14ac:dyDescent="0.35">
      <c r="E1485" t="s">
        <v>60</v>
      </c>
      <c r="F1485" t="s">
        <v>38</v>
      </c>
      <c r="G1485" t="s">
        <v>36</v>
      </c>
      <c r="H1485" t="s">
        <v>13</v>
      </c>
      <c r="I1485" t="s">
        <v>14</v>
      </c>
      <c r="J1485" t="s">
        <v>20</v>
      </c>
      <c r="K1485">
        <v>5569</v>
      </c>
      <c r="L1485">
        <v>15</v>
      </c>
      <c r="M1485">
        <v>83535</v>
      </c>
      <c r="N1485" t="s">
        <v>16</v>
      </c>
    </row>
    <row r="1486" spans="5:14" x14ac:dyDescent="0.35">
      <c r="E1486" t="s">
        <v>60</v>
      </c>
      <c r="F1486" t="s">
        <v>38</v>
      </c>
      <c r="G1486" t="s">
        <v>36</v>
      </c>
      <c r="H1486" t="s">
        <v>22</v>
      </c>
      <c r="I1486" t="s">
        <v>23</v>
      </c>
      <c r="J1486" t="s">
        <v>24</v>
      </c>
      <c r="K1486">
        <v>6275</v>
      </c>
      <c r="L1486">
        <v>2</v>
      </c>
      <c r="M1486">
        <v>12550</v>
      </c>
      <c r="N1486" t="s">
        <v>16</v>
      </c>
    </row>
    <row r="1487" spans="5:14" x14ac:dyDescent="0.35">
      <c r="E1487" t="s">
        <v>60</v>
      </c>
      <c r="F1487" t="s">
        <v>38</v>
      </c>
      <c r="G1487" t="s">
        <v>36</v>
      </c>
      <c r="H1487" t="s">
        <v>22</v>
      </c>
      <c r="I1487" t="s">
        <v>23</v>
      </c>
      <c r="J1487" t="s">
        <v>25</v>
      </c>
      <c r="K1487">
        <v>9066</v>
      </c>
      <c r="L1487">
        <v>2</v>
      </c>
      <c r="M1487">
        <v>18132</v>
      </c>
      <c r="N1487" t="s">
        <v>16</v>
      </c>
    </row>
    <row r="1488" spans="5:14" x14ac:dyDescent="0.35">
      <c r="E1488" t="s">
        <v>60</v>
      </c>
      <c r="F1488" t="s">
        <v>38</v>
      </c>
      <c r="G1488" t="s">
        <v>36</v>
      </c>
      <c r="H1488" t="s">
        <v>22</v>
      </c>
      <c r="I1488" t="s">
        <v>23</v>
      </c>
      <c r="J1488" t="s">
        <v>26</v>
      </c>
      <c r="K1488">
        <v>11673</v>
      </c>
      <c r="L1488">
        <v>5</v>
      </c>
      <c r="M1488">
        <v>58365</v>
      </c>
      <c r="N1488" t="s">
        <v>16</v>
      </c>
    </row>
    <row r="1489" spans="5:14" x14ac:dyDescent="0.35">
      <c r="E1489" t="s">
        <v>60</v>
      </c>
      <c r="F1489" t="s">
        <v>38</v>
      </c>
      <c r="G1489" t="s">
        <v>36</v>
      </c>
      <c r="H1489" t="s">
        <v>22</v>
      </c>
      <c r="I1489" t="s">
        <v>27</v>
      </c>
      <c r="J1489" t="s">
        <v>28</v>
      </c>
      <c r="K1489">
        <v>11790</v>
      </c>
      <c r="L1489">
        <v>3</v>
      </c>
      <c r="M1489">
        <v>35370</v>
      </c>
      <c r="N1489" t="s">
        <v>21</v>
      </c>
    </row>
    <row r="1490" spans="5:14" x14ac:dyDescent="0.35">
      <c r="E1490" t="s">
        <v>60</v>
      </c>
      <c r="F1490" t="s">
        <v>39</v>
      </c>
      <c r="G1490" t="s">
        <v>36</v>
      </c>
      <c r="H1490" t="s">
        <v>13</v>
      </c>
      <c r="I1490" t="s">
        <v>14</v>
      </c>
      <c r="J1490" t="s">
        <v>15</v>
      </c>
      <c r="K1490">
        <v>9597</v>
      </c>
      <c r="L1490">
        <v>10</v>
      </c>
      <c r="M1490">
        <v>95970</v>
      </c>
      <c r="N1490" t="s">
        <v>18</v>
      </c>
    </row>
    <row r="1491" spans="5:14" x14ac:dyDescent="0.35">
      <c r="E1491" t="s">
        <v>60</v>
      </c>
      <c r="F1491" t="s">
        <v>39</v>
      </c>
      <c r="G1491" t="s">
        <v>36</v>
      </c>
      <c r="H1491" t="s">
        <v>13</v>
      </c>
      <c r="I1491" t="s">
        <v>14</v>
      </c>
      <c r="J1491" t="s">
        <v>17</v>
      </c>
      <c r="K1491">
        <v>11119</v>
      </c>
      <c r="L1491">
        <v>20</v>
      </c>
      <c r="M1491">
        <v>222380</v>
      </c>
      <c r="N1491" t="s">
        <v>21</v>
      </c>
    </row>
    <row r="1492" spans="5:14" x14ac:dyDescent="0.35">
      <c r="E1492" t="s">
        <v>60</v>
      </c>
      <c r="F1492" t="s">
        <v>39</v>
      </c>
      <c r="G1492" t="s">
        <v>36</v>
      </c>
      <c r="H1492" t="s">
        <v>13</v>
      </c>
      <c r="I1492" t="s">
        <v>14</v>
      </c>
      <c r="J1492" t="s">
        <v>19</v>
      </c>
      <c r="K1492">
        <v>5764</v>
      </c>
      <c r="L1492">
        <v>30</v>
      </c>
      <c r="M1492">
        <v>172920</v>
      </c>
      <c r="N1492" t="s">
        <v>18</v>
      </c>
    </row>
    <row r="1493" spans="5:14" x14ac:dyDescent="0.35">
      <c r="E1493" t="s">
        <v>60</v>
      </c>
      <c r="F1493" t="s">
        <v>39</v>
      </c>
      <c r="G1493" t="s">
        <v>36</v>
      </c>
      <c r="H1493" t="s">
        <v>13</v>
      </c>
      <c r="I1493" t="s">
        <v>14</v>
      </c>
      <c r="J1493" t="s">
        <v>20</v>
      </c>
      <c r="K1493">
        <v>14063</v>
      </c>
      <c r="L1493">
        <v>15</v>
      </c>
      <c r="M1493">
        <v>210945</v>
      </c>
      <c r="N1493" t="s">
        <v>18</v>
      </c>
    </row>
    <row r="1494" spans="5:14" x14ac:dyDescent="0.35">
      <c r="E1494" t="s">
        <v>60</v>
      </c>
      <c r="F1494" t="s">
        <v>39</v>
      </c>
      <c r="G1494" t="s">
        <v>36</v>
      </c>
      <c r="H1494" t="s">
        <v>22</v>
      </c>
      <c r="I1494" t="s">
        <v>23</v>
      </c>
      <c r="J1494" t="s">
        <v>24</v>
      </c>
      <c r="K1494">
        <v>8016</v>
      </c>
      <c r="L1494">
        <v>2</v>
      </c>
      <c r="M1494">
        <v>16032</v>
      </c>
      <c r="N1494" t="s">
        <v>18</v>
      </c>
    </row>
    <row r="1495" spans="5:14" x14ac:dyDescent="0.35">
      <c r="E1495" t="s">
        <v>60</v>
      </c>
      <c r="F1495" t="s">
        <v>39</v>
      </c>
      <c r="G1495" t="s">
        <v>36</v>
      </c>
      <c r="H1495" t="s">
        <v>22</v>
      </c>
      <c r="I1495" t="s">
        <v>23</v>
      </c>
      <c r="J1495" t="s">
        <v>25</v>
      </c>
      <c r="K1495">
        <v>10312</v>
      </c>
      <c r="L1495">
        <v>2</v>
      </c>
      <c r="M1495">
        <v>20624</v>
      </c>
      <c r="N1495" t="s">
        <v>21</v>
      </c>
    </row>
    <row r="1496" spans="5:14" x14ac:dyDescent="0.35">
      <c r="E1496" t="s">
        <v>60</v>
      </c>
      <c r="F1496" t="s">
        <v>39</v>
      </c>
      <c r="G1496" t="s">
        <v>36</v>
      </c>
      <c r="H1496" t="s">
        <v>22</v>
      </c>
      <c r="I1496" t="s">
        <v>23</v>
      </c>
      <c r="J1496" t="s">
        <v>26</v>
      </c>
      <c r="K1496">
        <v>11412</v>
      </c>
      <c r="L1496">
        <v>5</v>
      </c>
      <c r="M1496">
        <v>57060</v>
      </c>
      <c r="N1496" t="s">
        <v>21</v>
      </c>
    </row>
    <row r="1497" spans="5:14" x14ac:dyDescent="0.35">
      <c r="E1497" t="s">
        <v>60</v>
      </c>
      <c r="F1497" t="s">
        <v>39</v>
      </c>
      <c r="G1497" t="s">
        <v>36</v>
      </c>
      <c r="H1497" t="s">
        <v>22</v>
      </c>
      <c r="I1497" t="s">
        <v>27</v>
      </c>
      <c r="J1497" t="s">
        <v>28</v>
      </c>
      <c r="K1497">
        <v>14692</v>
      </c>
      <c r="L1497">
        <v>3</v>
      </c>
      <c r="M1497">
        <v>44076</v>
      </c>
      <c r="N1497" t="s">
        <v>16</v>
      </c>
    </row>
    <row r="1498" spans="5:14" x14ac:dyDescent="0.35">
      <c r="E1498" t="s">
        <v>60</v>
      </c>
      <c r="F1498" t="s">
        <v>40</v>
      </c>
      <c r="G1498" t="s">
        <v>36</v>
      </c>
      <c r="H1498" t="s">
        <v>13</v>
      </c>
      <c r="I1498" t="s">
        <v>14</v>
      </c>
      <c r="J1498" t="s">
        <v>15</v>
      </c>
      <c r="K1498">
        <v>6398</v>
      </c>
      <c r="L1498">
        <v>10</v>
      </c>
      <c r="M1498">
        <v>63980</v>
      </c>
      <c r="N1498" t="s">
        <v>16</v>
      </c>
    </row>
    <row r="1499" spans="5:14" x14ac:dyDescent="0.35">
      <c r="E1499" t="s">
        <v>60</v>
      </c>
      <c r="F1499" t="s">
        <v>40</v>
      </c>
      <c r="G1499" t="s">
        <v>36</v>
      </c>
      <c r="H1499" t="s">
        <v>13</v>
      </c>
      <c r="I1499" t="s">
        <v>14</v>
      </c>
      <c r="J1499" t="s">
        <v>17</v>
      </c>
      <c r="K1499">
        <v>6148</v>
      </c>
      <c r="L1499">
        <v>20</v>
      </c>
      <c r="M1499">
        <v>122960</v>
      </c>
      <c r="N1499" t="s">
        <v>16</v>
      </c>
    </row>
    <row r="1500" spans="5:14" x14ac:dyDescent="0.35">
      <c r="E1500" t="s">
        <v>60</v>
      </c>
      <c r="F1500" t="s">
        <v>40</v>
      </c>
      <c r="G1500" t="s">
        <v>36</v>
      </c>
      <c r="H1500" t="s">
        <v>13</v>
      </c>
      <c r="I1500" t="s">
        <v>14</v>
      </c>
      <c r="J1500" t="s">
        <v>19</v>
      </c>
      <c r="K1500">
        <v>11302</v>
      </c>
      <c r="L1500">
        <v>30</v>
      </c>
      <c r="M1500">
        <v>339060</v>
      </c>
      <c r="N1500" t="s">
        <v>21</v>
      </c>
    </row>
    <row r="1501" spans="5:14" x14ac:dyDescent="0.35">
      <c r="E1501" t="s">
        <v>60</v>
      </c>
      <c r="F1501" t="s">
        <v>40</v>
      </c>
      <c r="G1501" t="s">
        <v>36</v>
      </c>
      <c r="H1501" t="s">
        <v>13</v>
      </c>
      <c r="I1501" t="s">
        <v>14</v>
      </c>
      <c r="J1501" t="s">
        <v>20</v>
      </c>
      <c r="K1501">
        <v>13524</v>
      </c>
      <c r="L1501">
        <v>15</v>
      </c>
      <c r="M1501">
        <v>202860</v>
      </c>
      <c r="N1501" t="s">
        <v>16</v>
      </c>
    </row>
    <row r="1502" spans="5:14" x14ac:dyDescent="0.35">
      <c r="E1502" t="s">
        <v>60</v>
      </c>
      <c r="F1502" t="s">
        <v>40</v>
      </c>
      <c r="G1502" t="s">
        <v>36</v>
      </c>
      <c r="H1502" t="s">
        <v>22</v>
      </c>
      <c r="I1502" t="s">
        <v>23</v>
      </c>
      <c r="J1502" t="s">
        <v>24</v>
      </c>
      <c r="K1502">
        <v>7871</v>
      </c>
      <c r="L1502">
        <v>2</v>
      </c>
      <c r="M1502">
        <v>15742</v>
      </c>
      <c r="N1502" t="s">
        <v>16</v>
      </c>
    </row>
    <row r="1503" spans="5:14" x14ac:dyDescent="0.35">
      <c r="E1503" t="s">
        <v>60</v>
      </c>
      <c r="F1503" t="s">
        <v>40</v>
      </c>
      <c r="G1503" t="s">
        <v>36</v>
      </c>
      <c r="H1503" t="s">
        <v>22</v>
      </c>
      <c r="I1503" t="s">
        <v>23</v>
      </c>
      <c r="J1503" t="s">
        <v>25</v>
      </c>
      <c r="K1503">
        <v>6390</v>
      </c>
      <c r="L1503">
        <v>2</v>
      </c>
      <c r="M1503">
        <v>12780</v>
      </c>
      <c r="N1503" t="s">
        <v>21</v>
      </c>
    </row>
    <row r="1504" spans="5:14" x14ac:dyDescent="0.35">
      <c r="E1504" t="s">
        <v>60</v>
      </c>
      <c r="F1504" t="s">
        <v>40</v>
      </c>
      <c r="G1504" t="s">
        <v>36</v>
      </c>
      <c r="H1504" t="s">
        <v>22</v>
      </c>
      <c r="I1504" t="s">
        <v>23</v>
      </c>
      <c r="J1504" t="s">
        <v>26</v>
      </c>
      <c r="K1504">
        <v>8277</v>
      </c>
      <c r="L1504">
        <v>5</v>
      </c>
      <c r="M1504">
        <v>41385</v>
      </c>
      <c r="N1504" t="s">
        <v>21</v>
      </c>
    </row>
    <row r="1505" spans="5:14" x14ac:dyDescent="0.35">
      <c r="E1505" t="s">
        <v>60</v>
      </c>
      <c r="F1505" t="s">
        <v>40</v>
      </c>
      <c r="G1505" t="s">
        <v>36</v>
      </c>
      <c r="H1505" t="s">
        <v>22</v>
      </c>
      <c r="I1505" t="s">
        <v>27</v>
      </c>
      <c r="J1505" t="s">
        <v>28</v>
      </c>
      <c r="K1505">
        <v>14961</v>
      </c>
      <c r="L1505">
        <v>3</v>
      </c>
      <c r="M1505">
        <v>44883</v>
      </c>
      <c r="N1505" t="s">
        <v>21</v>
      </c>
    </row>
    <row r="1506" spans="5:14" x14ac:dyDescent="0.35">
      <c r="E1506" t="s">
        <v>60</v>
      </c>
      <c r="F1506" t="s">
        <v>41</v>
      </c>
      <c r="G1506" t="s">
        <v>42</v>
      </c>
      <c r="H1506" t="s">
        <v>13</v>
      </c>
      <c r="I1506" t="s">
        <v>14</v>
      </c>
      <c r="J1506" t="s">
        <v>15</v>
      </c>
      <c r="K1506">
        <v>14671</v>
      </c>
      <c r="L1506">
        <v>10</v>
      </c>
      <c r="M1506">
        <v>146710</v>
      </c>
      <c r="N1506" t="s">
        <v>21</v>
      </c>
    </row>
    <row r="1507" spans="5:14" x14ac:dyDescent="0.35">
      <c r="E1507" t="s">
        <v>60</v>
      </c>
      <c r="F1507" t="s">
        <v>41</v>
      </c>
      <c r="G1507" t="s">
        <v>42</v>
      </c>
      <c r="H1507" t="s">
        <v>13</v>
      </c>
      <c r="I1507" t="s">
        <v>14</v>
      </c>
      <c r="J1507" t="s">
        <v>17</v>
      </c>
      <c r="K1507">
        <v>9221</v>
      </c>
      <c r="L1507">
        <v>20</v>
      </c>
      <c r="M1507">
        <v>184420</v>
      </c>
      <c r="N1507" t="s">
        <v>18</v>
      </c>
    </row>
    <row r="1508" spans="5:14" x14ac:dyDescent="0.35">
      <c r="E1508" t="s">
        <v>60</v>
      </c>
      <c r="F1508" t="s">
        <v>41</v>
      </c>
      <c r="G1508" t="s">
        <v>42</v>
      </c>
      <c r="H1508" t="s">
        <v>13</v>
      </c>
      <c r="I1508" t="s">
        <v>14</v>
      </c>
      <c r="J1508" t="s">
        <v>19</v>
      </c>
      <c r="K1508">
        <v>9088</v>
      </c>
      <c r="L1508">
        <v>30</v>
      </c>
      <c r="M1508">
        <v>272640</v>
      </c>
      <c r="N1508" t="s">
        <v>21</v>
      </c>
    </row>
    <row r="1509" spans="5:14" x14ac:dyDescent="0.35">
      <c r="E1509" t="s">
        <v>60</v>
      </c>
      <c r="F1509" t="s">
        <v>41</v>
      </c>
      <c r="G1509" t="s">
        <v>42</v>
      </c>
      <c r="H1509" t="s">
        <v>13</v>
      </c>
      <c r="I1509" t="s">
        <v>14</v>
      </c>
      <c r="J1509" t="s">
        <v>20</v>
      </c>
      <c r="K1509">
        <v>11906</v>
      </c>
      <c r="L1509">
        <v>15</v>
      </c>
      <c r="M1509">
        <v>178590</v>
      </c>
      <c r="N1509" t="s">
        <v>18</v>
      </c>
    </row>
    <row r="1510" spans="5:14" x14ac:dyDescent="0.35">
      <c r="E1510" t="s">
        <v>60</v>
      </c>
      <c r="F1510" t="s">
        <v>41</v>
      </c>
      <c r="G1510" t="s">
        <v>42</v>
      </c>
      <c r="H1510" t="s">
        <v>22</v>
      </c>
      <c r="I1510" t="s">
        <v>23</v>
      </c>
      <c r="J1510" t="s">
        <v>24</v>
      </c>
      <c r="K1510">
        <v>10672</v>
      </c>
      <c r="L1510">
        <v>2</v>
      </c>
      <c r="M1510">
        <v>21344</v>
      </c>
      <c r="N1510" t="s">
        <v>21</v>
      </c>
    </row>
    <row r="1511" spans="5:14" x14ac:dyDescent="0.35">
      <c r="E1511" t="s">
        <v>60</v>
      </c>
      <c r="F1511" t="s">
        <v>41</v>
      </c>
      <c r="G1511" t="s">
        <v>42</v>
      </c>
      <c r="H1511" t="s">
        <v>22</v>
      </c>
      <c r="I1511" t="s">
        <v>23</v>
      </c>
      <c r="J1511" t="s">
        <v>25</v>
      </c>
      <c r="K1511">
        <v>6828</v>
      </c>
      <c r="L1511">
        <v>2</v>
      </c>
      <c r="M1511">
        <v>13656</v>
      </c>
      <c r="N1511" t="s">
        <v>16</v>
      </c>
    </row>
    <row r="1512" spans="5:14" x14ac:dyDescent="0.35">
      <c r="E1512" t="s">
        <v>60</v>
      </c>
      <c r="F1512" t="s">
        <v>41</v>
      </c>
      <c r="G1512" t="s">
        <v>42</v>
      </c>
      <c r="H1512" t="s">
        <v>22</v>
      </c>
      <c r="I1512" t="s">
        <v>23</v>
      </c>
      <c r="J1512" t="s">
        <v>26</v>
      </c>
      <c r="K1512">
        <v>6688</v>
      </c>
      <c r="L1512">
        <v>5</v>
      </c>
      <c r="M1512">
        <v>33440</v>
      </c>
      <c r="N1512" t="s">
        <v>16</v>
      </c>
    </row>
    <row r="1513" spans="5:14" x14ac:dyDescent="0.35">
      <c r="E1513" t="s">
        <v>60</v>
      </c>
      <c r="F1513" t="s">
        <v>41</v>
      </c>
      <c r="G1513" t="s">
        <v>42</v>
      </c>
      <c r="H1513" t="s">
        <v>22</v>
      </c>
      <c r="I1513" t="s">
        <v>27</v>
      </c>
      <c r="J1513" t="s">
        <v>28</v>
      </c>
      <c r="K1513">
        <v>10426</v>
      </c>
      <c r="L1513">
        <v>3</v>
      </c>
      <c r="M1513">
        <v>31278</v>
      </c>
      <c r="N1513" t="s">
        <v>18</v>
      </c>
    </row>
    <row r="1514" spans="5:14" x14ac:dyDescent="0.35">
      <c r="E1514" t="s">
        <v>60</v>
      </c>
      <c r="F1514" t="s">
        <v>43</v>
      </c>
      <c r="G1514" t="s">
        <v>42</v>
      </c>
      <c r="H1514" t="s">
        <v>13</v>
      </c>
      <c r="I1514" t="s">
        <v>14</v>
      </c>
      <c r="J1514" t="s">
        <v>15</v>
      </c>
      <c r="K1514">
        <v>6209</v>
      </c>
      <c r="L1514">
        <v>10</v>
      </c>
      <c r="M1514">
        <v>62090</v>
      </c>
      <c r="N1514" t="s">
        <v>21</v>
      </c>
    </row>
    <row r="1515" spans="5:14" x14ac:dyDescent="0.35">
      <c r="E1515" t="s">
        <v>60</v>
      </c>
      <c r="F1515" t="s">
        <v>43</v>
      </c>
      <c r="G1515" t="s">
        <v>42</v>
      </c>
      <c r="H1515" t="s">
        <v>13</v>
      </c>
      <c r="I1515" t="s">
        <v>14</v>
      </c>
      <c r="J1515" t="s">
        <v>17</v>
      </c>
      <c r="K1515">
        <v>14960</v>
      </c>
      <c r="L1515">
        <v>20</v>
      </c>
      <c r="M1515">
        <v>299200</v>
      </c>
      <c r="N1515" t="s">
        <v>16</v>
      </c>
    </row>
    <row r="1516" spans="5:14" x14ac:dyDescent="0.35">
      <c r="E1516" t="s">
        <v>60</v>
      </c>
      <c r="F1516" t="s">
        <v>43</v>
      </c>
      <c r="G1516" t="s">
        <v>42</v>
      </c>
      <c r="H1516" t="s">
        <v>13</v>
      </c>
      <c r="I1516" t="s">
        <v>14</v>
      </c>
      <c r="J1516" t="s">
        <v>19</v>
      </c>
      <c r="K1516">
        <v>5440</v>
      </c>
      <c r="L1516">
        <v>30</v>
      </c>
      <c r="M1516">
        <v>163200</v>
      </c>
      <c r="N1516" t="s">
        <v>18</v>
      </c>
    </row>
    <row r="1517" spans="5:14" x14ac:dyDescent="0.35">
      <c r="E1517" t="s">
        <v>60</v>
      </c>
      <c r="F1517" t="s">
        <v>43</v>
      </c>
      <c r="G1517" t="s">
        <v>42</v>
      </c>
      <c r="H1517" t="s">
        <v>13</v>
      </c>
      <c r="I1517" t="s">
        <v>14</v>
      </c>
      <c r="J1517" t="s">
        <v>20</v>
      </c>
      <c r="K1517">
        <v>5509</v>
      </c>
      <c r="L1517">
        <v>15</v>
      </c>
      <c r="M1517">
        <v>82635</v>
      </c>
      <c r="N1517" t="s">
        <v>21</v>
      </c>
    </row>
    <row r="1518" spans="5:14" x14ac:dyDescent="0.35">
      <c r="E1518" t="s">
        <v>60</v>
      </c>
      <c r="F1518" t="s">
        <v>43</v>
      </c>
      <c r="G1518" t="s">
        <v>42</v>
      </c>
      <c r="H1518" t="s">
        <v>22</v>
      </c>
      <c r="I1518" t="s">
        <v>23</v>
      </c>
      <c r="J1518" t="s">
        <v>24</v>
      </c>
      <c r="K1518">
        <v>6108</v>
      </c>
      <c r="L1518">
        <v>2</v>
      </c>
      <c r="M1518">
        <v>12216</v>
      </c>
      <c r="N1518" t="s">
        <v>16</v>
      </c>
    </row>
    <row r="1519" spans="5:14" x14ac:dyDescent="0.35">
      <c r="E1519" t="s">
        <v>60</v>
      </c>
      <c r="F1519" t="s">
        <v>43</v>
      </c>
      <c r="G1519" t="s">
        <v>42</v>
      </c>
      <c r="H1519" t="s">
        <v>22</v>
      </c>
      <c r="I1519" t="s">
        <v>23</v>
      </c>
      <c r="J1519" t="s">
        <v>25</v>
      </c>
      <c r="K1519">
        <v>7157</v>
      </c>
      <c r="L1519">
        <v>2</v>
      </c>
      <c r="M1519">
        <v>14314</v>
      </c>
      <c r="N1519" t="s">
        <v>21</v>
      </c>
    </row>
    <row r="1520" spans="5:14" x14ac:dyDescent="0.35">
      <c r="E1520" t="s">
        <v>60</v>
      </c>
      <c r="F1520" t="s">
        <v>43</v>
      </c>
      <c r="G1520" t="s">
        <v>42</v>
      </c>
      <c r="H1520" t="s">
        <v>22</v>
      </c>
      <c r="I1520" t="s">
        <v>23</v>
      </c>
      <c r="J1520" t="s">
        <v>26</v>
      </c>
      <c r="K1520">
        <v>14497</v>
      </c>
      <c r="L1520">
        <v>5</v>
      </c>
      <c r="M1520">
        <v>72485</v>
      </c>
      <c r="N1520" t="s">
        <v>18</v>
      </c>
    </row>
    <row r="1521" spans="5:14" x14ac:dyDescent="0.35">
      <c r="E1521" t="s">
        <v>60</v>
      </c>
      <c r="F1521" t="s">
        <v>43</v>
      </c>
      <c r="G1521" t="s">
        <v>42</v>
      </c>
      <c r="H1521" t="s">
        <v>22</v>
      </c>
      <c r="I1521" t="s">
        <v>27</v>
      </c>
      <c r="J1521" t="s">
        <v>28</v>
      </c>
      <c r="K1521">
        <v>9008</v>
      </c>
      <c r="L1521">
        <v>3</v>
      </c>
      <c r="M1521">
        <v>27024</v>
      </c>
      <c r="N1521" t="s">
        <v>18</v>
      </c>
    </row>
    <row r="1522" spans="5:14" x14ac:dyDescent="0.35">
      <c r="E1522" t="s">
        <v>60</v>
      </c>
      <c r="F1522" t="s">
        <v>44</v>
      </c>
      <c r="G1522" t="s">
        <v>42</v>
      </c>
      <c r="H1522" t="s">
        <v>13</v>
      </c>
      <c r="I1522" t="s">
        <v>14</v>
      </c>
      <c r="J1522" t="s">
        <v>15</v>
      </c>
      <c r="K1522">
        <v>12294</v>
      </c>
      <c r="L1522">
        <v>10</v>
      </c>
      <c r="M1522">
        <v>122940</v>
      </c>
      <c r="N1522" t="s">
        <v>21</v>
      </c>
    </row>
    <row r="1523" spans="5:14" x14ac:dyDescent="0.35">
      <c r="E1523" t="s">
        <v>60</v>
      </c>
      <c r="F1523" t="s">
        <v>44</v>
      </c>
      <c r="G1523" t="s">
        <v>42</v>
      </c>
      <c r="H1523" t="s">
        <v>13</v>
      </c>
      <c r="I1523" t="s">
        <v>14</v>
      </c>
      <c r="J1523" t="s">
        <v>17</v>
      </c>
      <c r="K1523">
        <v>5959</v>
      </c>
      <c r="L1523">
        <v>20</v>
      </c>
      <c r="M1523">
        <v>119180</v>
      </c>
      <c r="N1523" t="s">
        <v>18</v>
      </c>
    </row>
    <row r="1524" spans="5:14" x14ac:dyDescent="0.35">
      <c r="E1524" t="s">
        <v>60</v>
      </c>
      <c r="F1524" t="s">
        <v>44</v>
      </c>
      <c r="G1524" t="s">
        <v>42</v>
      </c>
      <c r="H1524" t="s">
        <v>13</v>
      </c>
      <c r="I1524" t="s">
        <v>14</v>
      </c>
      <c r="J1524" t="s">
        <v>19</v>
      </c>
      <c r="K1524">
        <v>5687</v>
      </c>
      <c r="L1524">
        <v>30</v>
      </c>
      <c r="M1524">
        <v>170610</v>
      </c>
      <c r="N1524" t="s">
        <v>16</v>
      </c>
    </row>
    <row r="1525" spans="5:14" x14ac:dyDescent="0.35">
      <c r="E1525" t="s">
        <v>60</v>
      </c>
      <c r="F1525" t="s">
        <v>44</v>
      </c>
      <c r="G1525" t="s">
        <v>42</v>
      </c>
      <c r="H1525" t="s">
        <v>13</v>
      </c>
      <c r="I1525" t="s">
        <v>14</v>
      </c>
      <c r="J1525" t="s">
        <v>20</v>
      </c>
      <c r="K1525">
        <v>14917</v>
      </c>
      <c r="L1525">
        <v>15</v>
      </c>
      <c r="M1525">
        <v>223755</v>
      </c>
      <c r="N1525" t="s">
        <v>16</v>
      </c>
    </row>
    <row r="1526" spans="5:14" x14ac:dyDescent="0.35">
      <c r="E1526" t="s">
        <v>60</v>
      </c>
      <c r="F1526" t="s">
        <v>44</v>
      </c>
      <c r="G1526" t="s">
        <v>42</v>
      </c>
      <c r="H1526" t="s">
        <v>22</v>
      </c>
      <c r="I1526" t="s">
        <v>23</v>
      </c>
      <c r="J1526" t="s">
        <v>24</v>
      </c>
      <c r="K1526">
        <v>13256</v>
      </c>
      <c r="L1526">
        <v>2</v>
      </c>
      <c r="M1526">
        <v>26512</v>
      </c>
      <c r="N1526" t="s">
        <v>21</v>
      </c>
    </row>
    <row r="1527" spans="5:14" x14ac:dyDescent="0.35">
      <c r="E1527" t="s">
        <v>60</v>
      </c>
      <c r="F1527" t="s">
        <v>44</v>
      </c>
      <c r="G1527" t="s">
        <v>42</v>
      </c>
      <c r="H1527" t="s">
        <v>22</v>
      </c>
      <c r="I1527" t="s">
        <v>23</v>
      </c>
      <c r="J1527" t="s">
        <v>25</v>
      </c>
      <c r="K1527">
        <v>11076</v>
      </c>
      <c r="L1527">
        <v>2</v>
      </c>
      <c r="M1527">
        <v>22152</v>
      </c>
      <c r="N1527" t="s">
        <v>21</v>
      </c>
    </row>
    <row r="1528" spans="5:14" x14ac:dyDescent="0.35">
      <c r="E1528" t="s">
        <v>60</v>
      </c>
      <c r="F1528" t="s">
        <v>44</v>
      </c>
      <c r="G1528" t="s">
        <v>42</v>
      </c>
      <c r="H1528" t="s">
        <v>22</v>
      </c>
      <c r="I1528" t="s">
        <v>23</v>
      </c>
      <c r="J1528" t="s">
        <v>26</v>
      </c>
      <c r="K1528">
        <v>10232</v>
      </c>
      <c r="L1528">
        <v>5</v>
      </c>
      <c r="M1528">
        <v>51160</v>
      </c>
      <c r="N1528" t="s">
        <v>18</v>
      </c>
    </row>
    <row r="1529" spans="5:14" x14ac:dyDescent="0.35">
      <c r="E1529" t="s">
        <v>60</v>
      </c>
      <c r="F1529" t="s">
        <v>44</v>
      </c>
      <c r="G1529" t="s">
        <v>42</v>
      </c>
      <c r="H1529" t="s">
        <v>22</v>
      </c>
      <c r="I1529" t="s">
        <v>27</v>
      </c>
      <c r="J1529" t="s">
        <v>28</v>
      </c>
      <c r="K1529">
        <v>9583</v>
      </c>
      <c r="L1529">
        <v>3</v>
      </c>
      <c r="M1529">
        <v>28749</v>
      </c>
      <c r="N1529" t="s">
        <v>16</v>
      </c>
    </row>
    <row r="1530" spans="5:14" x14ac:dyDescent="0.35">
      <c r="E1530" t="s">
        <v>60</v>
      </c>
      <c r="F1530" t="s">
        <v>45</v>
      </c>
      <c r="G1530" t="s">
        <v>42</v>
      </c>
      <c r="H1530" t="s">
        <v>13</v>
      </c>
      <c r="I1530" t="s">
        <v>14</v>
      </c>
      <c r="J1530" t="s">
        <v>15</v>
      </c>
      <c r="K1530">
        <v>11111</v>
      </c>
      <c r="L1530">
        <v>10</v>
      </c>
      <c r="M1530">
        <v>111110</v>
      </c>
      <c r="N1530" t="s">
        <v>18</v>
      </c>
    </row>
    <row r="1531" spans="5:14" x14ac:dyDescent="0.35">
      <c r="E1531" t="s">
        <v>60</v>
      </c>
      <c r="F1531" t="s">
        <v>45</v>
      </c>
      <c r="G1531" t="s">
        <v>42</v>
      </c>
      <c r="H1531" t="s">
        <v>13</v>
      </c>
      <c r="I1531" t="s">
        <v>14</v>
      </c>
      <c r="J1531" t="s">
        <v>17</v>
      </c>
      <c r="K1531">
        <v>13338</v>
      </c>
      <c r="L1531">
        <v>20</v>
      </c>
      <c r="M1531">
        <v>266760</v>
      </c>
      <c r="N1531" t="s">
        <v>21</v>
      </c>
    </row>
    <row r="1532" spans="5:14" x14ac:dyDescent="0.35">
      <c r="E1532" t="s">
        <v>60</v>
      </c>
      <c r="F1532" t="s">
        <v>45</v>
      </c>
      <c r="G1532" t="s">
        <v>42</v>
      </c>
      <c r="H1532" t="s">
        <v>13</v>
      </c>
      <c r="I1532" t="s">
        <v>14</v>
      </c>
      <c r="J1532" t="s">
        <v>19</v>
      </c>
      <c r="K1532">
        <v>14912</v>
      </c>
      <c r="L1532">
        <v>30</v>
      </c>
      <c r="M1532">
        <v>447360</v>
      </c>
      <c r="N1532" t="s">
        <v>16</v>
      </c>
    </row>
    <row r="1533" spans="5:14" x14ac:dyDescent="0.35">
      <c r="E1533" t="s">
        <v>60</v>
      </c>
      <c r="F1533" t="s">
        <v>45</v>
      </c>
      <c r="G1533" t="s">
        <v>42</v>
      </c>
      <c r="H1533" t="s">
        <v>13</v>
      </c>
      <c r="I1533" t="s">
        <v>14</v>
      </c>
      <c r="J1533" t="s">
        <v>20</v>
      </c>
      <c r="K1533">
        <v>12829</v>
      </c>
      <c r="L1533">
        <v>15</v>
      </c>
      <c r="M1533">
        <v>192435</v>
      </c>
      <c r="N1533" t="s">
        <v>16</v>
      </c>
    </row>
    <row r="1534" spans="5:14" x14ac:dyDescent="0.35">
      <c r="E1534" t="s">
        <v>60</v>
      </c>
      <c r="F1534" t="s">
        <v>45</v>
      </c>
      <c r="G1534" t="s">
        <v>42</v>
      </c>
      <c r="H1534" t="s">
        <v>22</v>
      </c>
      <c r="I1534" t="s">
        <v>23</v>
      </c>
      <c r="J1534" t="s">
        <v>24</v>
      </c>
      <c r="K1534">
        <v>6051</v>
      </c>
      <c r="L1534">
        <v>2</v>
      </c>
      <c r="M1534">
        <v>12102</v>
      </c>
      <c r="N1534" t="s">
        <v>21</v>
      </c>
    </row>
    <row r="1535" spans="5:14" x14ac:dyDescent="0.35">
      <c r="E1535" t="s">
        <v>60</v>
      </c>
      <c r="F1535" t="s">
        <v>45</v>
      </c>
      <c r="G1535" t="s">
        <v>42</v>
      </c>
      <c r="H1535" t="s">
        <v>22</v>
      </c>
      <c r="I1535" t="s">
        <v>23</v>
      </c>
      <c r="J1535" t="s">
        <v>25</v>
      </c>
      <c r="K1535">
        <v>6322</v>
      </c>
      <c r="L1535">
        <v>2</v>
      </c>
      <c r="M1535">
        <v>12644</v>
      </c>
      <c r="N1535" t="s">
        <v>18</v>
      </c>
    </row>
    <row r="1536" spans="5:14" x14ac:dyDescent="0.35">
      <c r="E1536" t="s">
        <v>60</v>
      </c>
      <c r="F1536" t="s">
        <v>45</v>
      </c>
      <c r="G1536" t="s">
        <v>42</v>
      </c>
      <c r="H1536" t="s">
        <v>22</v>
      </c>
      <c r="I1536" t="s">
        <v>23</v>
      </c>
      <c r="J1536" t="s">
        <v>26</v>
      </c>
      <c r="K1536">
        <v>11471</v>
      </c>
      <c r="L1536">
        <v>5</v>
      </c>
      <c r="M1536">
        <v>57355</v>
      </c>
      <c r="N1536" t="s">
        <v>16</v>
      </c>
    </row>
    <row r="1537" spans="5:14" x14ac:dyDescent="0.35">
      <c r="E1537" t="s">
        <v>60</v>
      </c>
      <c r="F1537" t="s">
        <v>45</v>
      </c>
      <c r="G1537" t="s">
        <v>42</v>
      </c>
      <c r="H1537" t="s">
        <v>22</v>
      </c>
      <c r="I1537" t="s">
        <v>27</v>
      </c>
      <c r="J1537" t="s">
        <v>28</v>
      </c>
      <c r="K1537">
        <v>14798</v>
      </c>
      <c r="L1537">
        <v>3</v>
      </c>
      <c r="M1537">
        <v>44394</v>
      </c>
      <c r="N1537" t="s">
        <v>18</v>
      </c>
    </row>
    <row r="1538" spans="5:14" x14ac:dyDescent="0.35">
      <c r="E1538" t="s">
        <v>60</v>
      </c>
      <c r="F1538" t="s">
        <v>46</v>
      </c>
      <c r="G1538" t="s">
        <v>42</v>
      </c>
      <c r="H1538" t="s">
        <v>13</v>
      </c>
      <c r="I1538" t="s">
        <v>14</v>
      </c>
      <c r="J1538" t="s">
        <v>15</v>
      </c>
      <c r="K1538">
        <v>11035</v>
      </c>
      <c r="L1538">
        <v>10</v>
      </c>
      <c r="M1538">
        <v>110350</v>
      </c>
      <c r="N1538" t="s">
        <v>16</v>
      </c>
    </row>
    <row r="1539" spans="5:14" x14ac:dyDescent="0.35">
      <c r="E1539" t="s">
        <v>60</v>
      </c>
      <c r="F1539" t="s">
        <v>46</v>
      </c>
      <c r="G1539" t="s">
        <v>42</v>
      </c>
      <c r="H1539" t="s">
        <v>13</v>
      </c>
      <c r="I1539" t="s">
        <v>14</v>
      </c>
      <c r="J1539" t="s">
        <v>17</v>
      </c>
      <c r="K1539">
        <v>6658</v>
      </c>
      <c r="L1539">
        <v>20</v>
      </c>
      <c r="M1539">
        <v>133160</v>
      </c>
      <c r="N1539" t="s">
        <v>16</v>
      </c>
    </row>
    <row r="1540" spans="5:14" x14ac:dyDescent="0.35">
      <c r="E1540" t="s">
        <v>60</v>
      </c>
      <c r="F1540" t="s">
        <v>46</v>
      </c>
      <c r="G1540" t="s">
        <v>42</v>
      </c>
      <c r="H1540" t="s">
        <v>13</v>
      </c>
      <c r="I1540" t="s">
        <v>14</v>
      </c>
      <c r="J1540" t="s">
        <v>19</v>
      </c>
      <c r="K1540">
        <v>11567</v>
      </c>
      <c r="L1540">
        <v>30</v>
      </c>
      <c r="M1540">
        <v>347010</v>
      </c>
      <c r="N1540" t="s">
        <v>16</v>
      </c>
    </row>
    <row r="1541" spans="5:14" x14ac:dyDescent="0.35">
      <c r="E1541" t="s">
        <v>60</v>
      </c>
      <c r="F1541" t="s">
        <v>46</v>
      </c>
      <c r="G1541" t="s">
        <v>42</v>
      </c>
      <c r="H1541" t="s">
        <v>13</v>
      </c>
      <c r="I1541" t="s">
        <v>14</v>
      </c>
      <c r="J1541" t="s">
        <v>20</v>
      </c>
      <c r="K1541">
        <v>12354</v>
      </c>
      <c r="L1541">
        <v>15</v>
      </c>
      <c r="M1541">
        <v>185310</v>
      </c>
      <c r="N1541" t="s">
        <v>21</v>
      </c>
    </row>
    <row r="1542" spans="5:14" x14ac:dyDescent="0.35">
      <c r="E1542" t="s">
        <v>60</v>
      </c>
      <c r="F1542" t="s">
        <v>46</v>
      </c>
      <c r="G1542" t="s">
        <v>42</v>
      </c>
      <c r="H1542" t="s">
        <v>22</v>
      </c>
      <c r="I1542" t="s">
        <v>23</v>
      </c>
      <c r="J1542" t="s">
        <v>24</v>
      </c>
      <c r="K1542">
        <v>8586</v>
      </c>
      <c r="L1542">
        <v>2</v>
      </c>
      <c r="M1542">
        <v>17172</v>
      </c>
      <c r="N1542" t="s">
        <v>18</v>
      </c>
    </row>
    <row r="1543" spans="5:14" x14ac:dyDescent="0.35">
      <c r="E1543" t="s">
        <v>60</v>
      </c>
      <c r="F1543" t="s">
        <v>46</v>
      </c>
      <c r="G1543" t="s">
        <v>42</v>
      </c>
      <c r="H1543" t="s">
        <v>22</v>
      </c>
      <c r="I1543" t="s">
        <v>23</v>
      </c>
      <c r="J1543" t="s">
        <v>25</v>
      </c>
      <c r="K1543">
        <v>8852</v>
      </c>
      <c r="L1543">
        <v>2</v>
      </c>
      <c r="M1543">
        <v>17704</v>
      </c>
      <c r="N1543" t="s">
        <v>18</v>
      </c>
    </row>
    <row r="1544" spans="5:14" x14ac:dyDescent="0.35">
      <c r="E1544" t="s">
        <v>60</v>
      </c>
      <c r="F1544" t="s">
        <v>46</v>
      </c>
      <c r="G1544" t="s">
        <v>42</v>
      </c>
      <c r="H1544" t="s">
        <v>22</v>
      </c>
      <c r="I1544" t="s">
        <v>23</v>
      </c>
      <c r="J1544" t="s">
        <v>26</v>
      </c>
      <c r="K1544">
        <v>7260</v>
      </c>
      <c r="L1544">
        <v>5</v>
      </c>
      <c r="M1544">
        <v>36300</v>
      </c>
      <c r="N1544" t="s">
        <v>16</v>
      </c>
    </row>
    <row r="1545" spans="5:14" x14ac:dyDescent="0.35">
      <c r="E1545" t="s">
        <v>60</v>
      </c>
      <c r="F1545" t="s">
        <v>46</v>
      </c>
      <c r="G1545" t="s">
        <v>42</v>
      </c>
      <c r="H1545" t="s">
        <v>22</v>
      </c>
      <c r="I1545" t="s">
        <v>27</v>
      </c>
      <c r="J1545" t="s">
        <v>28</v>
      </c>
      <c r="K1545">
        <v>10984</v>
      </c>
      <c r="L1545">
        <v>3</v>
      </c>
      <c r="M1545">
        <v>32952</v>
      </c>
      <c r="N1545" t="s">
        <v>16</v>
      </c>
    </row>
    <row r="1546" spans="5:14" x14ac:dyDescent="0.35">
      <c r="E1546" t="s">
        <v>60</v>
      </c>
      <c r="F1546" t="s">
        <v>47</v>
      </c>
      <c r="G1546" t="s">
        <v>48</v>
      </c>
      <c r="H1546" t="s">
        <v>13</v>
      </c>
      <c r="I1546" t="s">
        <v>14</v>
      </c>
      <c r="J1546" t="s">
        <v>15</v>
      </c>
      <c r="K1546">
        <v>13665</v>
      </c>
      <c r="L1546">
        <v>10</v>
      </c>
      <c r="M1546">
        <v>136650</v>
      </c>
      <c r="N1546" t="s">
        <v>16</v>
      </c>
    </row>
    <row r="1547" spans="5:14" x14ac:dyDescent="0.35">
      <c r="E1547" t="s">
        <v>60</v>
      </c>
      <c r="F1547" t="s">
        <v>47</v>
      </c>
      <c r="G1547" t="s">
        <v>48</v>
      </c>
      <c r="H1547" t="s">
        <v>13</v>
      </c>
      <c r="I1547" t="s">
        <v>14</v>
      </c>
      <c r="J1547" t="s">
        <v>17</v>
      </c>
      <c r="K1547">
        <v>10624</v>
      </c>
      <c r="L1547">
        <v>20</v>
      </c>
      <c r="M1547">
        <v>212480</v>
      </c>
      <c r="N1547" t="s">
        <v>18</v>
      </c>
    </row>
    <row r="1548" spans="5:14" x14ac:dyDescent="0.35">
      <c r="E1548" t="s">
        <v>60</v>
      </c>
      <c r="F1548" t="s">
        <v>47</v>
      </c>
      <c r="G1548" t="s">
        <v>48</v>
      </c>
      <c r="H1548" t="s">
        <v>13</v>
      </c>
      <c r="I1548" t="s">
        <v>14</v>
      </c>
      <c r="J1548" t="s">
        <v>19</v>
      </c>
      <c r="K1548">
        <v>12614</v>
      </c>
      <c r="L1548">
        <v>30</v>
      </c>
      <c r="M1548">
        <v>378420</v>
      </c>
      <c r="N1548" t="s">
        <v>16</v>
      </c>
    </row>
    <row r="1549" spans="5:14" x14ac:dyDescent="0.35">
      <c r="E1549" t="s">
        <v>60</v>
      </c>
      <c r="F1549" t="s">
        <v>47</v>
      </c>
      <c r="G1549" t="s">
        <v>48</v>
      </c>
      <c r="H1549" t="s">
        <v>13</v>
      </c>
      <c r="I1549" t="s">
        <v>14</v>
      </c>
      <c r="J1549" t="s">
        <v>20</v>
      </c>
      <c r="K1549">
        <v>11510</v>
      </c>
      <c r="L1549">
        <v>15</v>
      </c>
      <c r="M1549">
        <v>172650</v>
      </c>
      <c r="N1549" t="s">
        <v>16</v>
      </c>
    </row>
    <row r="1550" spans="5:14" x14ac:dyDescent="0.35">
      <c r="E1550" t="s">
        <v>60</v>
      </c>
      <c r="F1550" t="s">
        <v>47</v>
      </c>
      <c r="G1550" t="s">
        <v>48</v>
      </c>
      <c r="H1550" t="s">
        <v>22</v>
      </c>
      <c r="I1550" t="s">
        <v>23</v>
      </c>
      <c r="J1550" t="s">
        <v>24</v>
      </c>
      <c r="K1550">
        <v>9218</v>
      </c>
      <c r="L1550">
        <v>2</v>
      </c>
      <c r="M1550">
        <v>18436</v>
      </c>
      <c r="N1550" t="s">
        <v>18</v>
      </c>
    </row>
    <row r="1551" spans="5:14" x14ac:dyDescent="0.35">
      <c r="E1551" t="s">
        <v>60</v>
      </c>
      <c r="F1551" t="s">
        <v>47</v>
      </c>
      <c r="G1551" t="s">
        <v>48</v>
      </c>
      <c r="H1551" t="s">
        <v>22</v>
      </c>
      <c r="I1551" t="s">
        <v>23</v>
      </c>
      <c r="J1551" t="s">
        <v>25</v>
      </c>
      <c r="K1551">
        <v>6057</v>
      </c>
      <c r="L1551">
        <v>2</v>
      </c>
      <c r="M1551">
        <v>12114</v>
      </c>
      <c r="N1551" t="s">
        <v>16</v>
      </c>
    </row>
    <row r="1552" spans="5:14" x14ac:dyDescent="0.35">
      <c r="E1552" t="s">
        <v>60</v>
      </c>
      <c r="F1552" t="s">
        <v>47</v>
      </c>
      <c r="G1552" t="s">
        <v>48</v>
      </c>
      <c r="H1552" t="s">
        <v>22</v>
      </c>
      <c r="I1552" t="s">
        <v>23</v>
      </c>
      <c r="J1552" t="s">
        <v>26</v>
      </c>
      <c r="K1552">
        <v>10058</v>
      </c>
      <c r="L1552">
        <v>5</v>
      </c>
      <c r="M1552">
        <v>50290</v>
      </c>
      <c r="N1552" t="s">
        <v>18</v>
      </c>
    </row>
    <row r="1553" spans="5:14" x14ac:dyDescent="0.35">
      <c r="E1553" t="s">
        <v>60</v>
      </c>
      <c r="F1553" t="s">
        <v>47</v>
      </c>
      <c r="G1553" t="s">
        <v>48</v>
      </c>
      <c r="H1553" t="s">
        <v>22</v>
      </c>
      <c r="I1553" t="s">
        <v>27</v>
      </c>
      <c r="J1553" t="s">
        <v>28</v>
      </c>
      <c r="K1553">
        <v>14759</v>
      </c>
      <c r="L1553">
        <v>3</v>
      </c>
      <c r="M1553">
        <v>44277</v>
      </c>
      <c r="N1553" t="s">
        <v>16</v>
      </c>
    </row>
    <row r="1554" spans="5:14" x14ac:dyDescent="0.35">
      <c r="E1554" t="s">
        <v>60</v>
      </c>
      <c r="F1554" t="s">
        <v>49</v>
      </c>
      <c r="G1554" t="s">
        <v>48</v>
      </c>
      <c r="H1554" t="s">
        <v>13</v>
      </c>
      <c r="I1554" t="s">
        <v>14</v>
      </c>
      <c r="J1554" t="s">
        <v>15</v>
      </c>
      <c r="K1554">
        <v>14206</v>
      </c>
      <c r="L1554">
        <v>10</v>
      </c>
      <c r="M1554">
        <v>142060</v>
      </c>
      <c r="N1554" t="s">
        <v>16</v>
      </c>
    </row>
    <row r="1555" spans="5:14" x14ac:dyDescent="0.35">
      <c r="E1555" t="s">
        <v>60</v>
      </c>
      <c r="F1555" t="s">
        <v>49</v>
      </c>
      <c r="G1555" t="s">
        <v>48</v>
      </c>
      <c r="H1555" t="s">
        <v>13</v>
      </c>
      <c r="I1555" t="s">
        <v>14</v>
      </c>
      <c r="J1555" t="s">
        <v>17</v>
      </c>
      <c r="K1555">
        <v>6942</v>
      </c>
      <c r="L1555">
        <v>20</v>
      </c>
      <c r="M1555">
        <v>138840</v>
      </c>
      <c r="N1555" t="s">
        <v>21</v>
      </c>
    </row>
    <row r="1556" spans="5:14" x14ac:dyDescent="0.35">
      <c r="E1556" t="s">
        <v>60</v>
      </c>
      <c r="F1556" t="s">
        <v>49</v>
      </c>
      <c r="G1556" t="s">
        <v>48</v>
      </c>
      <c r="H1556" t="s">
        <v>13</v>
      </c>
      <c r="I1556" t="s">
        <v>14</v>
      </c>
      <c r="J1556" t="s">
        <v>19</v>
      </c>
      <c r="K1556">
        <v>13247</v>
      </c>
      <c r="L1556">
        <v>30</v>
      </c>
      <c r="M1556">
        <v>397410</v>
      </c>
      <c r="N1556" t="s">
        <v>18</v>
      </c>
    </row>
    <row r="1557" spans="5:14" x14ac:dyDescent="0.35">
      <c r="E1557" t="s">
        <v>60</v>
      </c>
      <c r="F1557" t="s">
        <v>49</v>
      </c>
      <c r="G1557" t="s">
        <v>48</v>
      </c>
      <c r="H1557" t="s">
        <v>13</v>
      </c>
      <c r="I1557" t="s">
        <v>14</v>
      </c>
      <c r="J1557" t="s">
        <v>20</v>
      </c>
      <c r="K1557">
        <v>8176</v>
      </c>
      <c r="L1557">
        <v>15</v>
      </c>
      <c r="M1557">
        <v>122640</v>
      </c>
      <c r="N1557" t="s">
        <v>18</v>
      </c>
    </row>
    <row r="1558" spans="5:14" x14ac:dyDescent="0.35">
      <c r="E1558" t="s">
        <v>60</v>
      </c>
      <c r="F1558" t="s">
        <v>49</v>
      </c>
      <c r="G1558" t="s">
        <v>48</v>
      </c>
      <c r="H1558" t="s">
        <v>22</v>
      </c>
      <c r="I1558" t="s">
        <v>23</v>
      </c>
      <c r="J1558" t="s">
        <v>24</v>
      </c>
      <c r="K1558">
        <v>6472</v>
      </c>
      <c r="L1558">
        <v>2</v>
      </c>
      <c r="M1558">
        <v>12944</v>
      </c>
      <c r="N1558" t="s">
        <v>21</v>
      </c>
    </row>
    <row r="1559" spans="5:14" x14ac:dyDescent="0.35">
      <c r="E1559" t="s">
        <v>60</v>
      </c>
      <c r="F1559" t="s">
        <v>49</v>
      </c>
      <c r="G1559" t="s">
        <v>48</v>
      </c>
      <c r="H1559" t="s">
        <v>22</v>
      </c>
      <c r="I1559" t="s">
        <v>23</v>
      </c>
      <c r="J1559" t="s">
        <v>25</v>
      </c>
      <c r="K1559">
        <v>8984</v>
      </c>
      <c r="L1559">
        <v>2</v>
      </c>
      <c r="M1559">
        <v>17968</v>
      </c>
      <c r="N1559" t="s">
        <v>16</v>
      </c>
    </row>
    <row r="1560" spans="5:14" x14ac:dyDescent="0.35">
      <c r="E1560" t="s">
        <v>60</v>
      </c>
      <c r="F1560" t="s">
        <v>49</v>
      </c>
      <c r="G1560" t="s">
        <v>48</v>
      </c>
      <c r="H1560" t="s">
        <v>22</v>
      </c>
      <c r="I1560" t="s">
        <v>23</v>
      </c>
      <c r="J1560" t="s">
        <v>26</v>
      </c>
      <c r="K1560">
        <v>14003</v>
      </c>
      <c r="L1560">
        <v>5</v>
      </c>
      <c r="M1560">
        <v>70015</v>
      </c>
      <c r="N1560" t="s">
        <v>21</v>
      </c>
    </row>
    <row r="1561" spans="5:14" x14ac:dyDescent="0.35">
      <c r="E1561" t="s">
        <v>60</v>
      </c>
      <c r="F1561" t="s">
        <v>49</v>
      </c>
      <c r="G1561" t="s">
        <v>48</v>
      </c>
      <c r="H1561" t="s">
        <v>22</v>
      </c>
      <c r="I1561" t="s">
        <v>27</v>
      </c>
      <c r="J1561" t="s">
        <v>28</v>
      </c>
      <c r="K1561">
        <v>10361</v>
      </c>
      <c r="L1561">
        <v>3</v>
      </c>
      <c r="M1561">
        <v>31083</v>
      </c>
      <c r="N1561" t="s">
        <v>16</v>
      </c>
    </row>
    <row r="1562" spans="5:14" x14ac:dyDescent="0.35">
      <c r="E1562" t="s">
        <v>60</v>
      </c>
      <c r="F1562" t="s">
        <v>50</v>
      </c>
      <c r="G1562" t="s">
        <v>48</v>
      </c>
      <c r="H1562" t="s">
        <v>13</v>
      </c>
      <c r="I1562" t="s">
        <v>14</v>
      </c>
      <c r="J1562" t="s">
        <v>15</v>
      </c>
      <c r="K1562">
        <v>12471</v>
      </c>
      <c r="L1562">
        <v>10</v>
      </c>
      <c r="M1562">
        <v>124710</v>
      </c>
      <c r="N1562" t="s">
        <v>21</v>
      </c>
    </row>
    <row r="1563" spans="5:14" x14ac:dyDescent="0.35">
      <c r="E1563" t="s">
        <v>60</v>
      </c>
      <c r="F1563" t="s">
        <v>50</v>
      </c>
      <c r="G1563" t="s">
        <v>48</v>
      </c>
      <c r="H1563" t="s">
        <v>13</v>
      </c>
      <c r="I1563" t="s">
        <v>14</v>
      </c>
      <c r="J1563" t="s">
        <v>17</v>
      </c>
      <c r="K1563">
        <v>14625</v>
      </c>
      <c r="L1563">
        <v>20</v>
      </c>
      <c r="M1563">
        <v>292500</v>
      </c>
      <c r="N1563" t="s">
        <v>21</v>
      </c>
    </row>
    <row r="1564" spans="5:14" x14ac:dyDescent="0.35">
      <c r="E1564" t="s">
        <v>60</v>
      </c>
      <c r="F1564" t="s">
        <v>50</v>
      </c>
      <c r="G1564" t="s">
        <v>48</v>
      </c>
      <c r="H1564" t="s">
        <v>13</v>
      </c>
      <c r="I1564" t="s">
        <v>14</v>
      </c>
      <c r="J1564" t="s">
        <v>19</v>
      </c>
      <c r="K1564">
        <v>11484</v>
      </c>
      <c r="L1564">
        <v>30</v>
      </c>
      <c r="M1564">
        <v>344520</v>
      </c>
      <c r="N1564" t="s">
        <v>16</v>
      </c>
    </row>
    <row r="1565" spans="5:14" x14ac:dyDescent="0.35">
      <c r="E1565" t="s">
        <v>60</v>
      </c>
      <c r="F1565" t="s">
        <v>50</v>
      </c>
      <c r="G1565" t="s">
        <v>48</v>
      </c>
      <c r="H1565" t="s">
        <v>13</v>
      </c>
      <c r="I1565" t="s">
        <v>14</v>
      </c>
      <c r="J1565" t="s">
        <v>20</v>
      </c>
      <c r="K1565">
        <v>8959</v>
      </c>
      <c r="L1565">
        <v>15</v>
      </c>
      <c r="M1565">
        <v>134385</v>
      </c>
      <c r="N1565" t="s">
        <v>18</v>
      </c>
    </row>
    <row r="1566" spans="5:14" x14ac:dyDescent="0.35">
      <c r="E1566" t="s">
        <v>60</v>
      </c>
      <c r="F1566" t="s">
        <v>50</v>
      </c>
      <c r="G1566" t="s">
        <v>48</v>
      </c>
      <c r="H1566" t="s">
        <v>22</v>
      </c>
      <c r="I1566" t="s">
        <v>23</v>
      </c>
      <c r="J1566" t="s">
        <v>24</v>
      </c>
      <c r="K1566">
        <v>6907</v>
      </c>
      <c r="L1566">
        <v>2</v>
      </c>
      <c r="M1566">
        <v>13814</v>
      </c>
      <c r="N1566" t="s">
        <v>18</v>
      </c>
    </row>
    <row r="1567" spans="5:14" x14ac:dyDescent="0.35">
      <c r="E1567" t="s">
        <v>60</v>
      </c>
      <c r="F1567" t="s">
        <v>50</v>
      </c>
      <c r="G1567" t="s">
        <v>48</v>
      </c>
      <c r="H1567" t="s">
        <v>22</v>
      </c>
      <c r="I1567" t="s">
        <v>23</v>
      </c>
      <c r="J1567" t="s">
        <v>25</v>
      </c>
      <c r="K1567">
        <v>11573</v>
      </c>
      <c r="L1567">
        <v>2</v>
      </c>
      <c r="M1567">
        <v>23146</v>
      </c>
      <c r="N1567" t="s">
        <v>16</v>
      </c>
    </row>
    <row r="1568" spans="5:14" x14ac:dyDescent="0.35">
      <c r="E1568" t="s">
        <v>60</v>
      </c>
      <c r="F1568" t="s">
        <v>50</v>
      </c>
      <c r="G1568" t="s">
        <v>48</v>
      </c>
      <c r="H1568" t="s">
        <v>22</v>
      </c>
      <c r="I1568" t="s">
        <v>23</v>
      </c>
      <c r="J1568" t="s">
        <v>26</v>
      </c>
      <c r="K1568">
        <v>12739</v>
      </c>
      <c r="L1568">
        <v>5</v>
      </c>
      <c r="M1568">
        <v>63695</v>
      </c>
      <c r="N1568" t="s">
        <v>18</v>
      </c>
    </row>
    <row r="1569" spans="5:14" x14ac:dyDescent="0.35">
      <c r="E1569" t="s">
        <v>60</v>
      </c>
      <c r="F1569" t="s">
        <v>50</v>
      </c>
      <c r="G1569" t="s">
        <v>48</v>
      </c>
      <c r="H1569" t="s">
        <v>22</v>
      </c>
      <c r="I1569" t="s">
        <v>27</v>
      </c>
      <c r="J1569" t="s">
        <v>28</v>
      </c>
      <c r="K1569">
        <v>14174</v>
      </c>
      <c r="L1569">
        <v>3</v>
      </c>
      <c r="M1569">
        <v>42522</v>
      </c>
      <c r="N1569" t="s">
        <v>21</v>
      </c>
    </row>
    <row r="1570" spans="5:14" x14ac:dyDescent="0.35">
      <c r="E1570" t="s">
        <v>60</v>
      </c>
      <c r="F1570" t="s">
        <v>51</v>
      </c>
      <c r="G1570" t="s">
        <v>48</v>
      </c>
      <c r="H1570" t="s">
        <v>13</v>
      </c>
      <c r="I1570" t="s">
        <v>14</v>
      </c>
      <c r="J1570" t="s">
        <v>15</v>
      </c>
      <c r="K1570">
        <v>9800</v>
      </c>
      <c r="L1570">
        <v>10</v>
      </c>
      <c r="M1570">
        <v>98000</v>
      </c>
      <c r="N1570" t="s">
        <v>18</v>
      </c>
    </row>
    <row r="1571" spans="5:14" x14ac:dyDescent="0.35">
      <c r="E1571" t="s">
        <v>60</v>
      </c>
      <c r="F1571" t="s">
        <v>51</v>
      </c>
      <c r="G1571" t="s">
        <v>48</v>
      </c>
      <c r="H1571" t="s">
        <v>13</v>
      </c>
      <c r="I1571" t="s">
        <v>14</v>
      </c>
      <c r="J1571" t="s">
        <v>17</v>
      </c>
      <c r="K1571">
        <v>14387</v>
      </c>
      <c r="L1571">
        <v>20</v>
      </c>
      <c r="M1571">
        <v>287740</v>
      </c>
      <c r="N1571" t="s">
        <v>21</v>
      </c>
    </row>
    <row r="1572" spans="5:14" x14ac:dyDescent="0.35">
      <c r="E1572" t="s">
        <v>60</v>
      </c>
      <c r="F1572" t="s">
        <v>51</v>
      </c>
      <c r="G1572" t="s">
        <v>48</v>
      </c>
      <c r="H1572" t="s">
        <v>13</v>
      </c>
      <c r="I1572" t="s">
        <v>14</v>
      </c>
      <c r="J1572" t="s">
        <v>19</v>
      </c>
      <c r="K1572">
        <v>10760</v>
      </c>
      <c r="L1572">
        <v>30</v>
      </c>
      <c r="M1572">
        <v>322800</v>
      </c>
      <c r="N1572" t="s">
        <v>16</v>
      </c>
    </row>
    <row r="1573" spans="5:14" x14ac:dyDescent="0.35">
      <c r="E1573" t="s">
        <v>60</v>
      </c>
      <c r="F1573" t="s">
        <v>51</v>
      </c>
      <c r="G1573" t="s">
        <v>48</v>
      </c>
      <c r="H1573" t="s">
        <v>13</v>
      </c>
      <c r="I1573" t="s">
        <v>14</v>
      </c>
      <c r="J1573" t="s">
        <v>20</v>
      </c>
      <c r="K1573">
        <v>11954</v>
      </c>
      <c r="L1573">
        <v>15</v>
      </c>
      <c r="M1573">
        <v>179310</v>
      </c>
      <c r="N1573" t="s">
        <v>16</v>
      </c>
    </row>
    <row r="1574" spans="5:14" x14ac:dyDescent="0.35">
      <c r="E1574" t="s">
        <v>60</v>
      </c>
      <c r="F1574" t="s">
        <v>51</v>
      </c>
      <c r="G1574" t="s">
        <v>48</v>
      </c>
      <c r="H1574" t="s">
        <v>22</v>
      </c>
      <c r="I1574" t="s">
        <v>23</v>
      </c>
      <c r="J1574" t="s">
        <v>24</v>
      </c>
      <c r="K1574">
        <v>7802</v>
      </c>
      <c r="L1574">
        <v>2</v>
      </c>
      <c r="M1574">
        <v>15604</v>
      </c>
      <c r="N1574" t="s">
        <v>21</v>
      </c>
    </row>
    <row r="1575" spans="5:14" x14ac:dyDescent="0.35">
      <c r="E1575" t="s">
        <v>60</v>
      </c>
      <c r="F1575" t="s">
        <v>51</v>
      </c>
      <c r="G1575" t="s">
        <v>48</v>
      </c>
      <c r="H1575" t="s">
        <v>22</v>
      </c>
      <c r="I1575" t="s">
        <v>23</v>
      </c>
      <c r="J1575" t="s">
        <v>25</v>
      </c>
      <c r="K1575">
        <v>6608</v>
      </c>
      <c r="L1575">
        <v>2</v>
      </c>
      <c r="M1575">
        <v>13216</v>
      </c>
      <c r="N1575" t="s">
        <v>21</v>
      </c>
    </row>
    <row r="1576" spans="5:14" x14ac:dyDescent="0.35">
      <c r="E1576" t="s">
        <v>60</v>
      </c>
      <c r="F1576" t="s">
        <v>51</v>
      </c>
      <c r="G1576" t="s">
        <v>48</v>
      </c>
      <c r="H1576" t="s">
        <v>22</v>
      </c>
      <c r="I1576" t="s">
        <v>23</v>
      </c>
      <c r="J1576" t="s">
        <v>26</v>
      </c>
      <c r="K1576">
        <v>6503</v>
      </c>
      <c r="L1576">
        <v>5</v>
      </c>
      <c r="M1576">
        <v>32515</v>
      </c>
      <c r="N1576" t="s">
        <v>16</v>
      </c>
    </row>
    <row r="1577" spans="5:14" x14ac:dyDescent="0.35">
      <c r="E1577" t="s">
        <v>60</v>
      </c>
      <c r="F1577" t="s">
        <v>51</v>
      </c>
      <c r="G1577" t="s">
        <v>48</v>
      </c>
      <c r="H1577" t="s">
        <v>22</v>
      </c>
      <c r="I1577" t="s">
        <v>27</v>
      </c>
      <c r="J1577" t="s">
        <v>28</v>
      </c>
      <c r="K1577">
        <v>8814</v>
      </c>
      <c r="L1577">
        <v>3</v>
      </c>
      <c r="M1577">
        <v>26442</v>
      </c>
      <c r="N1577" t="s">
        <v>21</v>
      </c>
    </row>
    <row r="1578" spans="5:14" x14ac:dyDescent="0.35">
      <c r="E1578" t="s">
        <v>60</v>
      </c>
      <c r="F1578" t="s">
        <v>52</v>
      </c>
      <c r="G1578" t="s">
        <v>48</v>
      </c>
      <c r="H1578" t="s">
        <v>13</v>
      </c>
      <c r="I1578" t="s">
        <v>14</v>
      </c>
      <c r="J1578" t="s">
        <v>15</v>
      </c>
      <c r="K1578">
        <v>6469</v>
      </c>
      <c r="L1578">
        <v>10</v>
      </c>
      <c r="M1578">
        <v>64690</v>
      </c>
      <c r="N1578" t="s">
        <v>18</v>
      </c>
    </row>
    <row r="1579" spans="5:14" x14ac:dyDescent="0.35">
      <c r="E1579" t="s">
        <v>60</v>
      </c>
      <c r="F1579" t="s">
        <v>52</v>
      </c>
      <c r="G1579" t="s">
        <v>48</v>
      </c>
      <c r="H1579" t="s">
        <v>13</v>
      </c>
      <c r="I1579" t="s">
        <v>14</v>
      </c>
      <c r="J1579" t="s">
        <v>17</v>
      </c>
      <c r="K1579">
        <v>13849</v>
      </c>
      <c r="L1579">
        <v>20</v>
      </c>
      <c r="M1579">
        <v>276980</v>
      </c>
      <c r="N1579" t="s">
        <v>21</v>
      </c>
    </row>
    <row r="1580" spans="5:14" x14ac:dyDescent="0.35">
      <c r="E1580" t="s">
        <v>60</v>
      </c>
      <c r="F1580" t="s">
        <v>52</v>
      </c>
      <c r="G1580" t="s">
        <v>48</v>
      </c>
      <c r="H1580" t="s">
        <v>13</v>
      </c>
      <c r="I1580" t="s">
        <v>14</v>
      </c>
      <c r="J1580" t="s">
        <v>19</v>
      </c>
      <c r="K1580">
        <v>7300</v>
      </c>
      <c r="L1580">
        <v>30</v>
      </c>
      <c r="M1580">
        <v>219000</v>
      </c>
      <c r="N1580" t="s">
        <v>18</v>
      </c>
    </row>
    <row r="1581" spans="5:14" x14ac:dyDescent="0.35">
      <c r="E1581" t="s">
        <v>60</v>
      </c>
      <c r="F1581" t="s">
        <v>52</v>
      </c>
      <c r="G1581" t="s">
        <v>48</v>
      </c>
      <c r="H1581" t="s">
        <v>13</v>
      </c>
      <c r="I1581" t="s">
        <v>14</v>
      </c>
      <c r="J1581" t="s">
        <v>20</v>
      </c>
      <c r="K1581">
        <v>5756</v>
      </c>
      <c r="L1581">
        <v>15</v>
      </c>
      <c r="M1581">
        <v>86340</v>
      </c>
      <c r="N1581" t="s">
        <v>21</v>
      </c>
    </row>
    <row r="1582" spans="5:14" x14ac:dyDescent="0.35">
      <c r="E1582" t="s">
        <v>60</v>
      </c>
      <c r="F1582" t="s">
        <v>52</v>
      </c>
      <c r="G1582" t="s">
        <v>48</v>
      </c>
      <c r="H1582" t="s">
        <v>22</v>
      </c>
      <c r="I1582" t="s">
        <v>23</v>
      </c>
      <c r="J1582" t="s">
        <v>24</v>
      </c>
      <c r="K1582">
        <v>8797</v>
      </c>
      <c r="L1582">
        <v>2</v>
      </c>
      <c r="M1582">
        <v>17594</v>
      </c>
      <c r="N1582" t="s">
        <v>18</v>
      </c>
    </row>
    <row r="1583" spans="5:14" x14ac:dyDescent="0.35">
      <c r="E1583" t="s">
        <v>60</v>
      </c>
      <c r="F1583" t="s">
        <v>52</v>
      </c>
      <c r="G1583" t="s">
        <v>48</v>
      </c>
      <c r="H1583" t="s">
        <v>22</v>
      </c>
      <c r="I1583" t="s">
        <v>23</v>
      </c>
      <c r="J1583" t="s">
        <v>25</v>
      </c>
      <c r="K1583">
        <v>13797</v>
      </c>
      <c r="L1583">
        <v>2</v>
      </c>
      <c r="M1583">
        <v>27594</v>
      </c>
      <c r="N1583" t="s">
        <v>16</v>
      </c>
    </row>
    <row r="1584" spans="5:14" x14ac:dyDescent="0.35">
      <c r="E1584" t="s">
        <v>60</v>
      </c>
      <c r="F1584" t="s">
        <v>52</v>
      </c>
      <c r="G1584" t="s">
        <v>48</v>
      </c>
      <c r="H1584" t="s">
        <v>22</v>
      </c>
      <c r="I1584" t="s">
        <v>23</v>
      </c>
      <c r="J1584" t="s">
        <v>26</v>
      </c>
      <c r="K1584">
        <v>14752</v>
      </c>
      <c r="L1584">
        <v>5</v>
      </c>
      <c r="M1584">
        <v>73760</v>
      </c>
      <c r="N1584" t="s">
        <v>18</v>
      </c>
    </row>
    <row r="1585" spans="5:14" x14ac:dyDescent="0.35">
      <c r="E1585" t="s">
        <v>60</v>
      </c>
      <c r="F1585" t="s">
        <v>52</v>
      </c>
      <c r="G1585" t="s">
        <v>48</v>
      </c>
      <c r="H1585" t="s">
        <v>22</v>
      </c>
      <c r="I1585" t="s">
        <v>27</v>
      </c>
      <c r="J1585" t="s">
        <v>28</v>
      </c>
      <c r="K1585">
        <v>10168</v>
      </c>
      <c r="L1585">
        <v>3</v>
      </c>
      <c r="M1585">
        <v>30504</v>
      </c>
      <c r="N1585" t="s">
        <v>21</v>
      </c>
    </row>
    <row r="1586" spans="5:14" x14ac:dyDescent="0.35">
      <c r="E1586" t="s">
        <v>61</v>
      </c>
      <c r="F1586" t="s">
        <v>11</v>
      </c>
      <c r="G1586" t="s">
        <v>12</v>
      </c>
      <c r="H1586" t="s">
        <v>13</v>
      </c>
      <c r="I1586" t="s">
        <v>14</v>
      </c>
      <c r="J1586" t="s">
        <v>15</v>
      </c>
      <c r="K1586">
        <v>8351</v>
      </c>
      <c r="L1586">
        <v>10</v>
      </c>
      <c r="M1586">
        <v>83510</v>
      </c>
      <c r="N1586" t="s">
        <v>18</v>
      </c>
    </row>
    <row r="1587" spans="5:14" x14ac:dyDescent="0.35">
      <c r="E1587" t="s">
        <v>61</v>
      </c>
      <c r="F1587" t="s">
        <v>11</v>
      </c>
      <c r="G1587" t="s">
        <v>12</v>
      </c>
      <c r="H1587" t="s">
        <v>13</v>
      </c>
      <c r="I1587" t="s">
        <v>14</v>
      </c>
      <c r="J1587" t="s">
        <v>17</v>
      </c>
      <c r="K1587">
        <v>8332</v>
      </c>
      <c r="L1587">
        <v>20</v>
      </c>
      <c r="M1587">
        <v>166640</v>
      </c>
      <c r="N1587" t="s">
        <v>21</v>
      </c>
    </row>
    <row r="1588" spans="5:14" x14ac:dyDescent="0.35">
      <c r="E1588" t="s">
        <v>61</v>
      </c>
      <c r="F1588" t="s">
        <v>11</v>
      </c>
      <c r="G1588" t="s">
        <v>12</v>
      </c>
      <c r="H1588" t="s">
        <v>13</v>
      </c>
      <c r="I1588" t="s">
        <v>14</v>
      </c>
      <c r="J1588" t="s">
        <v>19</v>
      </c>
      <c r="K1588">
        <v>8956</v>
      </c>
      <c r="L1588">
        <v>30</v>
      </c>
      <c r="M1588">
        <v>268680</v>
      </c>
      <c r="N1588" t="s">
        <v>16</v>
      </c>
    </row>
    <row r="1589" spans="5:14" x14ac:dyDescent="0.35">
      <c r="E1589" t="s">
        <v>61</v>
      </c>
      <c r="F1589" t="s">
        <v>11</v>
      </c>
      <c r="G1589" t="s">
        <v>12</v>
      </c>
      <c r="H1589" t="s">
        <v>13</v>
      </c>
      <c r="I1589" t="s">
        <v>14</v>
      </c>
      <c r="J1589" t="s">
        <v>20</v>
      </c>
      <c r="K1589">
        <v>8305</v>
      </c>
      <c r="L1589">
        <v>15</v>
      </c>
      <c r="M1589">
        <v>124575</v>
      </c>
      <c r="N1589" t="s">
        <v>18</v>
      </c>
    </row>
    <row r="1590" spans="5:14" x14ac:dyDescent="0.35">
      <c r="E1590" t="s">
        <v>61</v>
      </c>
      <c r="F1590" t="s">
        <v>11</v>
      </c>
      <c r="G1590" t="s">
        <v>12</v>
      </c>
      <c r="H1590" t="s">
        <v>22</v>
      </c>
      <c r="I1590" t="s">
        <v>23</v>
      </c>
      <c r="J1590" t="s">
        <v>24</v>
      </c>
      <c r="K1590">
        <v>18984</v>
      </c>
      <c r="L1590">
        <v>2</v>
      </c>
      <c r="M1590">
        <v>37968</v>
      </c>
      <c r="N1590" t="s">
        <v>18</v>
      </c>
    </row>
    <row r="1591" spans="5:14" x14ac:dyDescent="0.35">
      <c r="E1591" t="s">
        <v>61</v>
      </c>
      <c r="F1591" t="s">
        <v>11</v>
      </c>
      <c r="G1591" t="s">
        <v>12</v>
      </c>
      <c r="H1591" t="s">
        <v>22</v>
      </c>
      <c r="I1591" t="s">
        <v>23</v>
      </c>
      <c r="J1591" t="s">
        <v>25</v>
      </c>
      <c r="K1591">
        <v>19726</v>
      </c>
      <c r="L1591">
        <v>2</v>
      </c>
      <c r="M1591">
        <v>39452</v>
      </c>
      <c r="N1591" t="s">
        <v>18</v>
      </c>
    </row>
    <row r="1592" spans="5:14" x14ac:dyDescent="0.35">
      <c r="E1592" t="s">
        <v>61</v>
      </c>
      <c r="F1592" t="s">
        <v>11</v>
      </c>
      <c r="G1592" t="s">
        <v>12</v>
      </c>
      <c r="H1592" t="s">
        <v>22</v>
      </c>
      <c r="I1592" t="s">
        <v>23</v>
      </c>
      <c r="J1592" t="s">
        <v>26</v>
      </c>
      <c r="K1592">
        <v>8742</v>
      </c>
      <c r="L1592">
        <v>5</v>
      </c>
      <c r="M1592">
        <v>43710</v>
      </c>
      <c r="N1592" t="s">
        <v>16</v>
      </c>
    </row>
    <row r="1593" spans="5:14" x14ac:dyDescent="0.35">
      <c r="E1593" t="s">
        <v>61</v>
      </c>
      <c r="F1593" t="s">
        <v>11</v>
      </c>
      <c r="G1593" t="s">
        <v>12</v>
      </c>
      <c r="H1593" t="s">
        <v>22</v>
      </c>
      <c r="I1593" t="s">
        <v>27</v>
      </c>
      <c r="J1593" t="s">
        <v>28</v>
      </c>
      <c r="K1593">
        <v>15402</v>
      </c>
      <c r="L1593">
        <v>3</v>
      </c>
      <c r="M1593">
        <v>46206</v>
      </c>
      <c r="N1593" t="s">
        <v>18</v>
      </c>
    </row>
    <row r="1594" spans="5:14" x14ac:dyDescent="0.35">
      <c r="E1594" t="s">
        <v>61</v>
      </c>
      <c r="F1594" t="s">
        <v>29</v>
      </c>
      <c r="G1594" t="s">
        <v>12</v>
      </c>
      <c r="H1594" t="s">
        <v>13</v>
      </c>
      <c r="I1594" t="s">
        <v>14</v>
      </c>
      <c r="J1594" t="s">
        <v>15</v>
      </c>
      <c r="K1594">
        <v>11018</v>
      </c>
      <c r="L1594">
        <v>10</v>
      </c>
      <c r="M1594">
        <v>110180</v>
      </c>
      <c r="N1594" t="s">
        <v>21</v>
      </c>
    </row>
    <row r="1595" spans="5:14" x14ac:dyDescent="0.35">
      <c r="E1595" t="s">
        <v>61</v>
      </c>
      <c r="F1595" t="s">
        <v>29</v>
      </c>
      <c r="G1595" t="s">
        <v>12</v>
      </c>
      <c r="H1595" t="s">
        <v>13</v>
      </c>
      <c r="I1595" t="s">
        <v>14</v>
      </c>
      <c r="J1595" t="s">
        <v>17</v>
      </c>
      <c r="K1595">
        <v>17432</v>
      </c>
      <c r="L1595">
        <v>20</v>
      </c>
      <c r="M1595">
        <v>348640</v>
      </c>
      <c r="N1595" t="s">
        <v>16</v>
      </c>
    </row>
    <row r="1596" spans="5:14" x14ac:dyDescent="0.35">
      <c r="E1596" t="s">
        <v>61</v>
      </c>
      <c r="F1596" t="s">
        <v>29</v>
      </c>
      <c r="G1596" t="s">
        <v>12</v>
      </c>
      <c r="H1596" t="s">
        <v>13</v>
      </c>
      <c r="I1596" t="s">
        <v>14</v>
      </c>
      <c r="J1596" t="s">
        <v>19</v>
      </c>
      <c r="K1596">
        <v>13672</v>
      </c>
      <c r="L1596">
        <v>30</v>
      </c>
      <c r="M1596">
        <v>410160</v>
      </c>
      <c r="N1596" t="s">
        <v>21</v>
      </c>
    </row>
    <row r="1597" spans="5:14" x14ac:dyDescent="0.35">
      <c r="E1597" t="s">
        <v>61</v>
      </c>
      <c r="F1597" t="s">
        <v>29</v>
      </c>
      <c r="G1597" t="s">
        <v>12</v>
      </c>
      <c r="H1597" t="s">
        <v>13</v>
      </c>
      <c r="I1597" t="s">
        <v>14</v>
      </c>
      <c r="J1597" t="s">
        <v>20</v>
      </c>
      <c r="K1597">
        <v>14729</v>
      </c>
      <c r="L1597">
        <v>15</v>
      </c>
      <c r="M1597">
        <v>220935</v>
      </c>
      <c r="N1597" t="s">
        <v>18</v>
      </c>
    </row>
    <row r="1598" spans="5:14" x14ac:dyDescent="0.35">
      <c r="E1598" t="s">
        <v>61</v>
      </c>
      <c r="F1598" t="s">
        <v>29</v>
      </c>
      <c r="G1598" t="s">
        <v>12</v>
      </c>
      <c r="H1598" t="s">
        <v>22</v>
      </c>
      <c r="I1598" t="s">
        <v>23</v>
      </c>
      <c r="J1598" t="s">
        <v>24</v>
      </c>
      <c r="K1598">
        <v>10761</v>
      </c>
      <c r="L1598">
        <v>2</v>
      </c>
      <c r="M1598">
        <v>21522</v>
      </c>
      <c r="N1598" t="s">
        <v>18</v>
      </c>
    </row>
    <row r="1599" spans="5:14" x14ac:dyDescent="0.35">
      <c r="E1599" t="s">
        <v>61</v>
      </c>
      <c r="F1599" t="s">
        <v>29</v>
      </c>
      <c r="G1599" t="s">
        <v>12</v>
      </c>
      <c r="H1599" t="s">
        <v>22</v>
      </c>
      <c r="I1599" t="s">
        <v>23</v>
      </c>
      <c r="J1599" t="s">
        <v>25</v>
      </c>
      <c r="K1599">
        <v>9767</v>
      </c>
      <c r="L1599">
        <v>2</v>
      </c>
      <c r="M1599">
        <v>19534</v>
      </c>
      <c r="N1599" t="s">
        <v>16</v>
      </c>
    </row>
    <row r="1600" spans="5:14" x14ac:dyDescent="0.35">
      <c r="E1600" t="s">
        <v>61</v>
      </c>
      <c r="F1600" t="s">
        <v>29</v>
      </c>
      <c r="G1600" t="s">
        <v>12</v>
      </c>
      <c r="H1600" t="s">
        <v>22</v>
      </c>
      <c r="I1600" t="s">
        <v>23</v>
      </c>
      <c r="J1600" t="s">
        <v>26</v>
      </c>
      <c r="K1600">
        <v>20878</v>
      </c>
      <c r="L1600">
        <v>5</v>
      </c>
      <c r="M1600">
        <v>104390</v>
      </c>
      <c r="N1600" t="s">
        <v>16</v>
      </c>
    </row>
    <row r="1601" spans="5:14" x14ac:dyDescent="0.35">
      <c r="E1601" t="s">
        <v>61</v>
      </c>
      <c r="F1601" t="s">
        <v>29</v>
      </c>
      <c r="G1601" t="s">
        <v>12</v>
      </c>
      <c r="H1601" t="s">
        <v>22</v>
      </c>
      <c r="I1601" t="s">
        <v>27</v>
      </c>
      <c r="J1601" t="s">
        <v>28</v>
      </c>
      <c r="K1601">
        <v>13288</v>
      </c>
      <c r="L1601">
        <v>3</v>
      </c>
      <c r="M1601">
        <v>39864</v>
      </c>
      <c r="N1601" t="s">
        <v>18</v>
      </c>
    </row>
    <row r="1602" spans="5:14" x14ac:dyDescent="0.35">
      <c r="E1602" t="s">
        <v>61</v>
      </c>
      <c r="F1602" t="s">
        <v>30</v>
      </c>
      <c r="G1602" t="s">
        <v>12</v>
      </c>
      <c r="H1602" t="s">
        <v>13</v>
      </c>
      <c r="I1602" t="s">
        <v>14</v>
      </c>
      <c r="J1602" t="s">
        <v>15</v>
      </c>
      <c r="K1602">
        <v>11567</v>
      </c>
      <c r="L1602">
        <v>10</v>
      </c>
      <c r="M1602">
        <v>115670</v>
      </c>
      <c r="N1602" t="s">
        <v>21</v>
      </c>
    </row>
    <row r="1603" spans="5:14" x14ac:dyDescent="0.35">
      <c r="E1603" t="s">
        <v>61</v>
      </c>
      <c r="F1603" t="s">
        <v>30</v>
      </c>
      <c r="G1603" t="s">
        <v>12</v>
      </c>
      <c r="H1603" t="s">
        <v>13</v>
      </c>
      <c r="I1603" t="s">
        <v>14</v>
      </c>
      <c r="J1603" t="s">
        <v>17</v>
      </c>
      <c r="K1603">
        <v>8800</v>
      </c>
      <c r="L1603">
        <v>20</v>
      </c>
      <c r="M1603">
        <v>176000</v>
      </c>
      <c r="N1603" t="s">
        <v>21</v>
      </c>
    </row>
    <row r="1604" spans="5:14" x14ac:dyDescent="0.35">
      <c r="E1604" t="s">
        <v>61</v>
      </c>
      <c r="F1604" t="s">
        <v>30</v>
      </c>
      <c r="G1604" t="s">
        <v>12</v>
      </c>
      <c r="H1604" t="s">
        <v>13</v>
      </c>
      <c r="I1604" t="s">
        <v>14</v>
      </c>
      <c r="J1604" t="s">
        <v>19</v>
      </c>
      <c r="K1604">
        <v>13241</v>
      </c>
      <c r="L1604">
        <v>30</v>
      </c>
      <c r="M1604">
        <v>397230</v>
      </c>
      <c r="N1604" t="s">
        <v>18</v>
      </c>
    </row>
    <row r="1605" spans="5:14" x14ac:dyDescent="0.35">
      <c r="E1605" t="s">
        <v>61</v>
      </c>
      <c r="F1605" t="s">
        <v>30</v>
      </c>
      <c r="G1605" t="s">
        <v>12</v>
      </c>
      <c r="H1605" t="s">
        <v>13</v>
      </c>
      <c r="I1605" t="s">
        <v>14</v>
      </c>
      <c r="J1605" t="s">
        <v>20</v>
      </c>
      <c r="K1605">
        <v>8238</v>
      </c>
      <c r="L1605">
        <v>15</v>
      </c>
      <c r="M1605">
        <v>123570</v>
      </c>
      <c r="N1605" t="s">
        <v>18</v>
      </c>
    </row>
    <row r="1606" spans="5:14" x14ac:dyDescent="0.35">
      <c r="E1606" t="s">
        <v>61</v>
      </c>
      <c r="F1606" t="s">
        <v>30</v>
      </c>
      <c r="G1606" t="s">
        <v>12</v>
      </c>
      <c r="H1606" t="s">
        <v>22</v>
      </c>
      <c r="I1606" t="s">
        <v>23</v>
      </c>
      <c r="J1606" t="s">
        <v>24</v>
      </c>
      <c r="K1606">
        <v>12732</v>
      </c>
      <c r="L1606">
        <v>2</v>
      </c>
      <c r="M1606">
        <v>25464</v>
      </c>
      <c r="N1606" t="s">
        <v>16</v>
      </c>
    </row>
    <row r="1607" spans="5:14" x14ac:dyDescent="0.35">
      <c r="E1607" t="s">
        <v>61</v>
      </c>
      <c r="F1607" t="s">
        <v>30</v>
      </c>
      <c r="G1607" t="s">
        <v>12</v>
      </c>
      <c r="H1607" t="s">
        <v>22</v>
      </c>
      <c r="I1607" t="s">
        <v>23</v>
      </c>
      <c r="J1607" t="s">
        <v>25</v>
      </c>
      <c r="K1607">
        <v>14463</v>
      </c>
      <c r="L1607">
        <v>2</v>
      </c>
      <c r="M1607">
        <v>28926</v>
      </c>
      <c r="N1607" t="s">
        <v>21</v>
      </c>
    </row>
    <row r="1608" spans="5:14" x14ac:dyDescent="0.35">
      <c r="E1608" t="s">
        <v>61</v>
      </c>
      <c r="F1608" t="s">
        <v>30</v>
      </c>
      <c r="G1608" t="s">
        <v>12</v>
      </c>
      <c r="H1608" t="s">
        <v>22</v>
      </c>
      <c r="I1608" t="s">
        <v>23</v>
      </c>
      <c r="J1608" t="s">
        <v>26</v>
      </c>
      <c r="K1608">
        <v>10738</v>
      </c>
      <c r="L1608">
        <v>5</v>
      </c>
      <c r="M1608">
        <v>53690</v>
      </c>
      <c r="N1608" t="s">
        <v>16</v>
      </c>
    </row>
    <row r="1609" spans="5:14" x14ac:dyDescent="0.35">
      <c r="E1609" t="s">
        <v>61</v>
      </c>
      <c r="F1609" t="s">
        <v>30</v>
      </c>
      <c r="G1609" t="s">
        <v>12</v>
      </c>
      <c r="H1609" t="s">
        <v>22</v>
      </c>
      <c r="I1609" t="s">
        <v>27</v>
      </c>
      <c r="J1609" t="s">
        <v>28</v>
      </c>
      <c r="K1609">
        <v>18351</v>
      </c>
      <c r="L1609">
        <v>3</v>
      </c>
      <c r="M1609">
        <v>55053</v>
      </c>
      <c r="N1609" t="s">
        <v>16</v>
      </c>
    </row>
    <row r="1610" spans="5:14" x14ac:dyDescent="0.35">
      <c r="E1610" t="s">
        <v>61</v>
      </c>
      <c r="F1610" t="s">
        <v>31</v>
      </c>
      <c r="G1610" t="s">
        <v>12</v>
      </c>
      <c r="H1610" t="s">
        <v>13</v>
      </c>
      <c r="I1610" t="s">
        <v>14</v>
      </c>
      <c r="J1610" t="s">
        <v>15</v>
      </c>
      <c r="K1610">
        <v>8795</v>
      </c>
      <c r="L1610">
        <v>10</v>
      </c>
      <c r="M1610">
        <v>87950</v>
      </c>
      <c r="N1610" t="s">
        <v>16</v>
      </c>
    </row>
    <row r="1611" spans="5:14" x14ac:dyDescent="0.35">
      <c r="E1611" t="s">
        <v>61</v>
      </c>
      <c r="F1611" t="s">
        <v>31</v>
      </c>
      <c r="G1611" t="s">
        <v>12</v>
      </c>
      <c r="H1611" t="s">
        <v>13</v>
      </c>
      <c r="I1611" t="s">
        <v>14</v>
      </c>
      <c r="J1611" t="s">
        <v>17</v>
      </c>
      <c r="K1611">
        <v>14093</v>
      </c>
      <c r="L1611">
        <v>20</v>
      </c>
      <c r="M1611">
        <v>281860</v>
      </c>
      <c r="N1611" t="s">
        <v>18</v>
      </c>
    </row>
    <row r="1612" spans="5:14" x14ac:dyDescent="0.35">
      <c r="E1612" t="s">
        <v>61</v>
      </c>
      <c r="F1612" t="s">
        <v>31</v>
      </c>
      <c r="G1612" t="s">
        <v>12</v>
      </c>
      <c r="H1612" t="s">
        <v>13</v>
      </c>
      <c r="I1612" t="s">
        <v>14</v>
      </c>
      <c r="J1612" t="s">
        <v>19</v>
      </c>
      <c r="K1612">
        <v>16121</v>
      </c>
      <c r="L1612">
        <v>30</v>
      </c>
      <c r="M1612">
        <v>483630</v>
      </c>
      <c r="N1612" t="s">
        <v>18</v>
      </c>
    </row>
    <row r="1613" spans="5:14" x14ac:dyDescent="0.35">
      <c r="E1613" t="s">
        <v>61</v>
      </c>
      <c r="F1613" t="s">
        <v>31</v>
      </c>
      <c r="G1613" t="s">
        <v>12</v>
      </c>
      <c r="H1613" t="s">
        <v>13</v>
      </c>
      <c r="I1613" t="s">
        <v>14</v>
      </c>
      <c r="J1613" t="s">
        <v>20</v>
      </c>
      <c r="K1613">
        <v>9781</v>
      </c>
      <c r="L1613">
        <v>15</v>
      </c>
      <c r="M1613">
        <v>146715</v>
      </c>
      <c r="N1613" t="s">
        <v>18</v>
      </c>
    </row>
    <row r="1614" spans="5:14" x14ac:dyDescent="0.35">
      <c r="E1614" t="s">
        <v>61</v>
      </c>
      <c r="F1614" t="s">
        <v>31</v>
      </c>
      <c r="G1614" t="s">
        <v>12</v>
      </c>
      <c r="H1614" t="s">
        <v>22</v>
      </c>
      <c r="I1614" t="s">
        <v>23</v>
      </c>
      <c r="J1614" t="s">
        <v>24</v>
      </c>
      <c r="K1614">
        <v>19125</v>
      </c>
      <c r="L1614">
        <v>2</v>
      </c>
      <c r="M1614">
        <v>38250</v>
      </c>
      <c r="N1614" t="s">
        <v>18</v>
      </c>
    </row>
    <row r="1615" spans="5:14" x14ac:dyDescent="0.35">
      <c r="E1615" t="s">
        <v>61</v>
      </c>
      <c r="F1615" t="s">
        <v>31</v>
      </c>
      <c r="G1615" t="s">
        <v>12</v>
      </c>
      <c r="H1615" t="s">
        <v>22</v>
      </c>
      <c r="I1615" t="s">
        <v>23</v>
      </c>
      <c r="J1615" t="s">
        <v>25</v>
      </c>
      <c r="K1615">
        <v>12865</v>
      </c>
      <c r="L1615">
        <v>2</v>
      </c>
      <c r="M1615">
        <v>25730</v>
      </c>
      <c r="N1615" t="s">
        <v>21</v>
      </c>
    </row>
    <row r="1616" spans="5:14" x14ac:dyDescent="0.35">
      <c r="E1616" t="s">
        <v>61</v>
      </c>
      <c r="F1616" t="s">
        <v>31</v>
      </c>
      <c r="G1616" t="s">
        <v>12</v>
      </c>
      <c r="H1616" t="s">
        <v>22</v>
      </c>
      <c r="I1616" t="s">
        <v>23</v>
      </c>
      <c r="J1616" t="s">
        <v>26</v>
      </c>
      <c r="K1616">
        <v>15365</v>
      </c>
      <c r="L1616">
        <v>5</v>
      </c>
      <c r="M1616">
        <v>76825</v>
      </c>
      <c r="N1616" t="s">
        <v>21</v>
      </c>
    </row>
    <row r="1617" spans="5:14" x14ac:dyDescent="0.35">
      <c r="E1617" t="s">
        <v>61</v>
      </c>
      <c r="F1617" t="s">
        <v>31</v>
      </c>
      <c r="G1617" t="s">
        <v>12</v>
      </c>
      <c r="H1617" t="s">
        <v>22</v>
      </c>
      <c r="I1617" t="s">
        <v>27</v>
      </c>
      <c r="J1617" t="s">
        <v>28</v>
      </c>
      <c r="K1617">
        <v>19183</v>
      </c>
      <c r="L1617">
        <v>3</v>
      </c>
      <c r="M1617">
        <v>57549</v>
      </c>
      <c r="N1617" t="s">
        <v>18</v>
      </c>
    </row>
    <row r="1618" spans="5:14" x14ac:dyDescent="0.35">
      <c r="E1618" t="s">
        <v>61</v>
      </c>
      <c r="F1618" t="s">
        <v>32</v>
      </c>
      <c r="G1618" t="s">
        <v>12</v>
      </c>
      <c r="H1618" t="s">
        <v>13</v>
      </c>
      <c r="I1618" t="s">
        <v>14</v>
      </c>
      <c r="J1618" t="s">
        <v>15</v>
      </c>
      <c r="K1618">
        <v>13573</v>
      </c>
      <c r="L1618">
        <v>10</v>
      </c>
      <c r="M1618">
        <v>135730</v>
      </c>
      <c r="N1618" t="s">
        <v>16</v>
      </c>
    </row>
    <row r="1619" spans="5:14" x14ac:dyDescent="0.35">
      <c r="E1619" t="s">
        <v>61</v>
      </c>
      <c r="F1619" t="s">
        <v>32</v>
      </c>
      <c r="G1619" t="s">
        <v>12</v>
      </c>
      <c r="H1619" t="s">
        <v>13</v>
      </c>
      <c r="I1619" t="s">
        <v>14</v>
      </c>
      <c r="J1619" t="s">
        <v>17</v>
      </c>
      <c r="K1619">
        <v>8116</v>
      </c>
      <c r="L1619">
        <v>20</v>
      </c>
      <c r="M1619">
        <v>162320</v>
      </c>
      <c r="N1619" t="s">
        <v>16</v>
      </c>
    </row>
    <row r="1620" spans="5:14" x14ac:dyDescent="0.35">
      <c r="E1620" t="s">
        <v>61</v>
      </c>
      <c r="F1620" t="s">
        <v>32</v>
      </c>
      <c r="G1620" t="s">
        <v>12</v>
      </c>
      <c r="H1620" t="s">
        <v>13</v>
      </c>
      <c r="I1620" t="s">
        <v>14</v>
      </c>
      <c r="J1620" t="s">
        <v>19</v>
      </c>
      <c r="K1620">
        <v>14583</v>
      </c>
      <c r="L1620">
        <v>30</v>
      </c>
      <c r="M1620">
        <v>437490</v>
      </c>
      <c r="N1620" t="s">
        <v>18</v>
      </c>
    </row>
    <row r="1621" spans="5:14" x14ac:dyDescent="0.35">
      <c r="E1621" t="s">
        <v>61</v>
      </c>
      <c r="F1621" t="s">
        <v>32</v>
      </c>
      <c r="G1621" t="s">
        <v>12</v>
      </c>
      <c r="H1621" t="s">
        <v>13</v>
      </c>
      <c r="I1621" t="s">
        <v>14</v>
      </c>
      <c r="J1621" t="s">
        <v>20</v>
      </c>
      <c r="K1621">
        <v>9702</v>
      </c>
      <c r="L1621">
        <v>15</v>
      </c>
      <c r="M1621">
        <v>145530</v>
      </c>
      <c r="N1621" t="s">
        <v>21</v>
      </c>
    </row>
    <row r="1622" spans="5:14" x14ac:dyDescent="0.35">
      <c r="E1622" t="s">
        <v>61</v>
      </c>
      <c r="F1622" t="s">
        <v>32</v>
      </c>
      <c r="G1622" t="s">
        <v>12</v>
      </c>
      <c r="H1622" t="s">
        <v>22</v>
      </c>
      <c r="I1622" t="s">
        <v>23</v>
      </c>
      <c r="J1622" t="s">
        <v>24</v>
      </c>
      <c r="K1622">
        <v>10800</v>
      </c>
      <c r="L1622">
        <v>2</v>
      </c>
      <c r="M1622">
        <v>21600</v>
      </c>
      <c r="N1622" t="s">
        <v>18</v>
      </c>
    </row>
    <row r="1623" spans="5:14" x14ac:dyDescent="0.35">
      <c r="E1623" t="s">
        <v>61</v>
      </c>
      <c r="F1623" t="s">
        <v>32</v>
      </c>
      <c r="G1623" t="s">
        <v>12</v>
      </c>
      <c r="H1623" t="s">
        <v>22</v>
      </c>
      <c r="I1623" t="s">
        <v>23</v>
      </c>
      <c r="J1623" t="s">
        <v>25</v>
      </c>
      <c r="K1623">
        <v>12762</v>
      </c>
      <c r="L1623">
        <v>2</v>
      </c>
      <c r="M1623">
        <v>25524</v>
      </c>
      <c r="N1623" t="s">
        <v>16</v>
      </c>
    </row>
    <row r="1624" spans="5:14" x14ac:dyDescent="0.35">
      <c r="E1624" t="s">
        <v>61</v>
      </c>
      <c r="F1624" t="s">
        <v>32</v>
      </c>
      <c r="G1624" t="s">
        <v>12</v>
      </c>
      <c r="H1624" t="s">
        <v>22</v>
      </c>
      <c r="I1624" t="s">
        <v>23</v>
      </c>
      <c r="J1624" t="s">
        <v>26</v>
      </c>
      <c r="K1624">
        <v>14624</v>
      </c>
      <c r="L1624">
        <v>5</v>
      </c>
      <c r="M1624">
        <v>73120</v>
      </c>
      <c r="N1624" t="s">
        <v>21</v>
      </c>
    </row>
    <row r="1625" spans="5:14" x14ac:dyDescent="0.35">
      <c r="E1625" t="s">
        <v>61</v>
      </c>
      <c r="F1625" t="s">
        <v>32</v>
      </c>
      <c r="G1625" t="s">
        <v>12</v>
      </c>
      <c r="H1625" t="s">
        <v>22</v>
      </c>
      <c r="I1625" t="s">
        <v>27</v>
      </c>
      <c r="J1625" t="s">
        <v>28</v>
      </c>
      <c r="K1625">
        <v>15090</v>
      </c>
      <c r="L1625">
        <v>3</v>
      </c>
      <c r="M1625">
        <v>45270</v>
      </c>
      <c r="N1625" t="s">
        <v>16</v>
      </c>
    </row>
    <row r="1626" spans="5:14" x14ac:dyDescent="0.35">
      <c r="E1626" t="s">
        <v>61</v>
      </c>
      <c r="F1626" t="s">
        <v>33</v>
      </c>
      <c r="G1626" t="s">
        <v>12</v>
      </c>
      <c r="H1626" t="s">
        <v>13</v>
      </c>
      <c r="I1626" t="s">
        <v>14</v>
      </c>
      <c r="J1626" t="s">
        <v>15</v>
      </c>
      <c r="K1626">
        <v>11328</v>
      </c>
      <c r="L1626">
        <v>10</v>
      </c>
      <c r="M1626">
        <v>113280</v>
      </c>
      <c r="N1626" t="s">
        <v>21</v>
      </c>
    </row>
    <row r="1627" spans="5:14" x14ac:dyDescent="0.35">
      <c r="E1627" t="s">
        <v>61</v>
      </c>
      <c r="F1627" t="s">
        <v>33</v>
      </c>
      <c r="G1627" t="s">
        <v>12</v>
      </c>
      <c r="H1627" t="s">
        <v>13</v>
      </c>
      <c r="I1627" t="s">
        <v>14</v>
      </c>
      <c r="J1627" t="s">
        <v>17</v>
      </c>
      <c r="K1627">
        <v>20514</v>
      </c>
      <c r="L1627">
        <v>20</v>
      </c>
      <c r="M1627">
        <v>410280</v>
      </c>
      <c r="N1627" t="s">
        <v>21</v>
      </c>
    </row>
    <row r="1628" spans="5:14" x14ac:dyDescent="0.35">
      <c r="E1628" t="s">
        <v>61</v>
      </c>
      <c r="F1628" t="s">
        <v>33</v>
      </c>
      <c r="G1628" t="s">
        <v>12</v>
      </c>
      <c r="H1628" t="s">
        <v>13</v>
      </c>
      <c r="I1628" t="s">
        <v>14</v>
      </c>
      <c r="J1628" t="s">
        <v>19</v>
      </c>
      <c r="K1628">
        <v>15220</v>
      </c>
      <c r="L1628">
        <v>30</v>
      </c>
      <c r="M1628">
        <v>456600</v>
      </c>
      <c r="N1628" t="s">
        <v>21</v>
      </c>
    </row>
    <row r="1629" spans="5:14" x14ac:dyDescent="0.35">
      <c r="E1629" t="s">
        <v>61</v>
      </c>
      <c r="F1629" t="s">
        <v>33</v>
      </c>
      <c r="G1629" t="s">
        <v>12</v>
      </c>
      <c r="H1629" t="s">
        <v>13</v>
      </c>
      <c r="I1629" t="s">
        <v>14</v>
      </c>
      <c r="J1629" t="s">
        <v>20</v>
      </c>
      <c r="K1629">
        <v>13999</v>
      </c>
      <c r="L1629">
        <v>15</v>
      </c>
      <c r="M1629">
        <v>209985</v>
      </c>
      <c r="N1629" t="s">
        <v>18</v>
      </c>
    </row>
    <row r="1630" spans="5:14" x14ac:dyDescent="0.35">
      <c r="E1630" t="s">
        <v>61</v>
      </c>
      <c r="F1630" t="s">
        <v>33</v>
      </c>
      <c r="G1630" t="s">
        <v>12</v>
      </c>
      <c r="H1630" t="s">
        <v>22</v>
      </c>
      <c r="I1630" t="s">
        <v>23</v>
      </c>
      <c r="J1630" t="s">
        <v>24</v>
      </c>
      <c r="K1630">
        <v>12656</v>
      </c>
      <c r="L1630">
        <v>2</v>
      </c>
      <c r="M1630">
        <v>25312</v>
      </c>
      <c r="N1630" t="s">
        <v>16</v>
      </c>
    </row>
    <row r="1631" spans="5:14" x14ac:dyDescent="0.35">
      <c r="E1631" t="s">
        <v>61</v>
      </c>
      <c r="F1631" t="s">
        <v>33</v>
      </c>
      <c r="G1631" t="s">
        <v>12</v>
      </c>
      <c r="H1631" t="s">
        <v>22</v>
      </c>
      <c r="I1631" t="s">
        <v>23</v>
      </c>
      <c r="J1631" t="s">
        <v>25</v>
      </c>
      <c r="K1631">
        <v>10787</v>
      </c>
      <c r="L1631">
        <v>2</v>
      </c>
      <c r="M1631">
        <v>21574</v>
      </c>
      <c r="N1631" t="s">
        <v>21</v>
      </c>
    </row>
    <row r="1632" spans="5:14" x14ac:dyDescent="0.35">
      <c r="E1632" t="s">
        <v>61</v>
      </c>
      <c r="F1632" t="s">
        <v>33</v>
      </c>
      <c r="G1632" t="s">
        <v>12</v>
      </c>
      <c r="H1632" t="s">
        <v>22</v>
      </c>
      <c r="I1632" t="s">
        <v>23</v>
      </c>
      <c r="J1632" t="s">
        <v>26</v>
      </c>
      <c r="K1632">
        <v>14685</v>
      </c>
      <c r="L1632">
        <v>5</v>
      </c>
      <c r="M1632">
        <v>73425</v>
      </c>
      <c r="N1632" t="s">
        <v>18</v>
      </c>
    </row>
    <row r="1633" spans="5:14" x14ac:dyDescent="0.35">
      <c r="E1633" t="s">
        <v>61</v>
      </c>
      <c r="F1633" t="s">
        <v>33</v>
      </c>
      <c r="G1633" t="s">
        <v>12</v>
      </c>
      <c r="H1633" t="s">
        <v>22</v>
      </c>
      <c r="I1633" t="s">
        <v>27</v>
      </c>
      <c r="J1633" t="s">
        <v>28</v>
      </c>
      <c r="K1633">
        <v>19168</v>
      </c>
      <c r="L1633">
        <v>3</v>
      </c>
      <c r="M1633">
        <v>57504</v>
      </c>
      <c r="N1633" t="s">
        <v>16</v>
      </c>
    </row>
    <row r="1634" spans="5:14" x14ac:dyDescent="0.35">
      <c r="E1634" t="s">
        <v>61</v>
      </c>
      <c r="F1634" t="s">
        <v>34</v>
      </c>
      <c r="G1634" t="s">
        <v>12</v>
      </c>
      <c r="H1634" t="s">
        <v>13</v>
      </c>
      <c r="I1634" t="s">
        <v>14</v>
      </c>
      <c r="J1634" t="s">
        <v>15</v>
      </c>
      <c r="K1634">
        <v>13475</v>
      </c>
      <c r="L1634">
        <v>10</v>
      </c>
      <c r="M1634">
        <v>134750</v>
      </c>
      <c r="N1634" t="s">
        <v>21</v>
      </c>
    </row>
    <row r="1635" spans="5:14" x14ac:dyDescent="0.35">
      <c r="E1635" t="s">
        <v>61</v>
      </c>
      <c r="F1635" t="s">
        <v>34</v>
      </c>
      <c r="G1635" t="s">
        <v>12</v>
      </c>
      <c r="H1635" t="s">
        <v>13</v>
      </c>
      <c r="I1635" t="s">
        <v>14</v>
      </c>
      <c r="J1635" t="s">
        <v>17</v>
      </c>
      <c r="K1635">
        <v>7600</v>
      </c>
      <c r="L1635">
        <v>20</v>
      </c>
      <c r="M1635">
        <v>152000</v>
      </c>
      <c r="N1635" t="s">
        <v>21</v>
      </c>
    </row>
    <row r="1636" spans="5:14" x14ac:dyDescent="0.35">
      <c r="E1636" t="s">
        <v>61</v>
      </c>
      <c r="F1636" t="s">
        <v>34</v>
      </c>
      <c r="G1636" t="s">
        <v>12</v>
      </c>
      <c r="H1636" t="s">
        <v>13</v>
      </c>
      <c r="I1636" t="s">
        <v>14</v>
      </c>
      <c r="J1636" t="s">
        <v>19</v>
      </c>
      <c r="K1636">
        <v>13332</v>
      </c>
      <c r="L1636">
        <v>30</v>
      </c>
      <c r="M1636">
        <v>399960</v>
      </c>
      <c r="N1636" t="s">
        <v>16</v>
      </c>
    </row>
    <row r="1637" spans="5:14" x14ac:dyDescent="0.35">
      <c r="E1637" t="s">
        <v>61</v>
      </c>
      <c r="F1637" t="s">
        <v>34</v>
      </c>
      <c r="G1637" t="s">
        <v>12</v>
      </c>
      <c r="H1637" t="s">
        <v>13</v>
      </c>
      <c r="I1637" t="s">
        <v>14</v>
      </c>
      <c r="J1637" t="s">
        <v>20</v>
      </c>
      <c r="K1637">
        <v>18416</v>
      </c>
      <c r="L1637">
        <v>15</v>
      </c>
      <c r="M1637">
        <v>276240</v>
      </c>
      <c r="N1637" t="s">
        <v>16</v>
      </c>
    </row>
    <row r="1638" spans="5:14" x14ac:dyDescent="0.35">
      <c r="E1638" t="s">
        <v>61</v>
      </c>
      <c r="F1638" t="s">
        <v>34</v>
      </c>
      <c r="G1638" t="s">
        <v>12</v>
      </c>
      <c r="H1638" t="s">
        <v>22</v>
      </c>
      <c r="I1638" t="s">
        <v>23</v>
      </c>
      <c r="J1638" t="s">
        <v>24</v>
      </c>
      <c r="K1638">
        <v>7634</v>
      </c>
      <c r="L1638">
        <v>2</v>
      </c>
      <c r="M1638">
        <v>15268</v>
      </c>
      <c r="N1638" t="s">
        <v>18</v>
      </c>
    </row>
    <row r="1639" spans="5:14" x14ac:dyDescent="0.35">
      <c r="E1639" t="s">
        <v>61</v>
      </c>
      <c r="F1639" t="s">
        <v>34</v>
      </c>
      <c r="G1639" t="s">
        <v>12</v>
      </c>
      <c r="H1639" t="s">
        <v>22</v>
      </c>
      <c r="I1639" t="s">
        <v>23</v>
      </c>
      <c r="J1639" t="s">
        <v>25</v>
      </c>
      <c r="K1639">
        <v>19018</v>
      </c>
      <c r="L1639">
        <v>2</v>
      </c>
      <c r="M1639">
        <v>38036</v>
      </c>
      <c r="N1639" t="s">
        <v>16</v>
      </c>
    </row>
    <row r="1640" spans="5:14" x14ac:dyDescent="0.35">
      <c r="E1640" t="s">
        <v>61</v>
      </c>
      <c r="F1640" t="s">
        <v>34</v>
      </c>
      <c r="G1640" t="s">
        <v>12</v>
      </c>
      <c r="H1640" t="s">
        <v>22</v>
      </c>
      <c r="I1640" t="s">
        <v>23</v>
      </c>
      <c r="J1640" t="s">
        <v>26</v>
      </c>
      <c r="K1640">
        <v>8943</v>
      </c>
      <c r="L1640">
        <v>5</v>
      </c>
      <c r="M1640">
        <v>44715</v>
      </c>
      <c r="N1640" t="s">
        <v>18</v>
      </c>
    </row>
    <row r="1641" spans="5:14" x14ac:dyDescent="0.35">
      <c r="E1641" t="s">
        <v>61</v>
      </c>
      <c r="F1641" t="s">
        <v>34</v>
      </c>
      <c r="G1641" t="s">
        <v>12</v>
      </c>
      <c r="H1641" t="s">
        <v>22</v>
      </c>
      <c r="I1641" t="s">
        <v>27</v>
      </c>
      <c r="J1641" t="s">
        <v>28</v>
      </c>
      <c r="K1641">
        <v>14015</v>
      </c>
      <c r="L1641">
        <v>3</v>
      </c>
      <c r="M1641">
        <v>42045</v>
      </c>
      <c r="N1641" t="s">
        <v>16</v>
      </c>
    </row>
    <row r="1642" spans="5:14" x14ac:dyDescent="0.35">
      <c r="E1642" t="s">
        <v>61</v>
      </c>
      <c r="F1642" t="s">
        <v>35</v>
      </c>
      <c r="G1642" t="s">
        <v>36</v>
      </c>
      <c r="H1642" t="s">
        <v>13</v>
      </c>
      <c r="I1642" t="s">
        <v>14</v>
      </c>
      <c r="J1642" t="s">
        <v>15</v>
      </c>
      <c r="K1642">
        <v>19825</v>
      </c>
      <c r="L1642">
        <v>10</v>
      </c>
      <c r="M1642">
        <v>198250</v>
      </c>
      <c r="N1642" t="s">
        <v>18</v>
      </c>
    </row>
    <row r="1643" spans="5:14" x14ac:dyDescent="0.35">
      <c r="E1643" t="s">
        <v>61</v>
      </c>
      <c r="F1643" t="s">
        <v>35</v>
      </c>
      <c r="G1643" t="s">
        <v>36</v>
      </c>
      <c r="H1643" t="s">
        <v>13</v>
      </c>
      <c r="I1643" t="s">
        <v>14</v>
      </c>
      <c r="J1643" t="s">
        <v>17</v>
      </c>
      <c r="K1643">
        <v>12460</v>
      </c>
      <c r="L1643">
        <v>20</v>
      </c>
      <c r="M1643">
        <v>249200</v>
      </c>
      <c r="N1643" t="s">
        <v>16</v>
      </c>
    </row>
    <row r="1644" spans="5:14" x14ac:dyDescent="0.35">
      <c r="E1644" t="s">
        <v>61</v>
      </c>
      <c r="F1644" t="s">
        <v>35</v>
      </c>
      <c r="G1644" t="s">
        <v>36</v>
      </c>
      <c r="H1644" t="s">
        <v>13</v>
      </c>
      <c r="I1644" t="s">
        <v>14</v>
      </c>
      <c r="J1644" t="s">
        <v>19</v>
      </c>
      <c r="K1644">
        <v>16075</v>
      </c>
      <c r="L1644">
        <v>30</v>
      </c>
      <c r="M1644">
        <v>482250</v>
      </c>
      <c r="N1644" t="s">
        <v>21</v>
      </c>
    </row>
    <row r="1645" spans="5:14" x14ac:dyDescent="0.35">
      <c r="E1645" t="s">
        <v>61</v>
      </c>
      <c r="F1645" t="s">
        <v>35</v>
      </c>
      <c r="G1645" t="s">
        <v>36</v>
      </c>
      <c r="H1645" t="s">
        <v>13</v>
      </c>
      <c r="I1645" t="s">
        <v>14</v>
      </c>
      <c r="J1645" t="s">
        <v>20</v>
      </c>
      <c r="K1645">
        <v>12037</v>
      </c>
      <c r="L1645">
        <v>15</v>
      </c>
      <c r="M1645">
        <v>180555</v>
      </c>
      <c r="N1645" t="s">
        <v>21</v>
      </c>
    </row>
    <row r="1646" spans="5:14" x14ac:dyDescent="0.35">
      <c r="E1646" t="s">
        <v>61</v>
      </c>
      <c r="F1646" t="s">
        <v>35</v>
      </c>
      <c r="G1646" t="s">
        <v>36</v>
      </c>
      <c r="H1646" t="s">
        <v>22</v>
      </c>
      <c r="I1646" t="s">
        <v>23</v>
      </c>
      <c r="J1646" t="s">
        <v>24</v>
      </c>
      <c r="K1646">
        <v>15549</v>
      </c>
      <c r="L1646">
        <v>2</v>
      </c>
      <c r="M1646">
        <v>31098</v>
      </c>
      <c r="N1646" t="s">
        <v>16</v>
      </c>
    </row>
    <row r="1647" spans="5:14" x14ac:dyDescent="0.35">
      <c r="E1647" t="s">
        <v>61</v>
      </c>
      <c r="F1647" t="s">
        <v>35</v>
      </c>
      <c r="G1647" t="s">
        <v>36</v>
      </c>
      <c r="H1647" t="s">
        <v>22</v>
      </c>
      <c r="I1647" t="s">
        <v>23</v>
      </c>
      <c r="J1647" t="s">
        <v>25</v>
      </c>
      <c r="K1647">
        <v>18337</v>
      </c>
      <c r="L1647">
        <v>2</v>
      </c>
      <c r="M1647">
        <v>36674</v>
      </c>
      <c r="N1647" t="s">
        <v>18</v>
      </c>
    </row>
    <row r="1648" spans="5:14" x14ac:dyDescent="0.35">
      <c r="E1648" t="s">
        <v>61</v>
      </c>
      <c r="F1648" t="s">
        <v>35</v>
      </c>
      <c r="G1648" t="s">
        <v>36</v>
      </c>
      <c r="H1648" t="s">
        <v>22</v>
      </c>
      <c r="I1648" t="s">
        <v>23</v>
      </c>
      <c r="J1648" t="s">
        <v>26</v>
      </c>
      <c r="K1648">
        <v>12579</v>
      </c>
      <c r="L1648">
        <v>5</v>
      </c>
      <c r="M1648">
        <v>62895</v>
      </c>
      <c r="N1648" t="s">
        <v>16</v>
      </c>
    </row>
    <row r="1649" spans="5:14" x14ac:dyDescent="0.35">
      <c r="E1649" t="s">
        <v>61</v>
      </c>
      <c r="F1649" t="s">
        <v>35</v>
      </c>
      <c r="G1649" t="s">
        <v>36</v>
      </c>
      <c r="H1649" t="s">
        <v>22</v>
      </c>
      <c r="I1649" t="s">
        <v>27</v>
      </c>
      <c r="J1649" t="s">
        <v>28</v>
      </c>
      <c r="K1649">
        <v>7834</v>
      </c>
      <c r="L1649">
        <v>3</v>
      </c>
      <c r="M1649">
        <v>23502</v>
      </c>
      <c r="N1649" t="s">
        <v>16</v>
      </c>
    </row>
    <row r="1650" spans="5:14" x14ac:dyDescent="0.35">
      <c r="E1650" t="s">
        <v>61</v>
      </c>
      <c r="F1650" t="s">
        <v>37</v>
      </c>
      <c r="G1650" t="s">
        <v>36</v>
      </c>
      <c r="H1650" t="s">
        <v>13</v>
      </c>
      <c r="I1650" t="s">
        <v>14</v>
      </c>
      <c r="J1650" t="s">
        <v>15</v>
      </c>
      <c r="K1650">
        <v>12060</v>
      </c>
      <c r="L1650">
        <v>10</v>
      </c>
      <c r="M1650">
        <v>120600</v>
      </c>
      <c r="N1650" t="s">
        <v>18</v>
      </c>
    </row>
    <row r="1651" spans="5:14" x14ac:dyDescent="0.35">
      <c r="E1651" t="s">
        <v>61</v>
      </c>
      <c r="F1651" t="s">
        <v>37</v>
      </c>
      <c r="G1651" t="s">
        <v>36</v>
      </c>
      <c r="H1651" t="s">
        <v>13</v>
      </c>
      <c r="I1651" t="s">
        <v>14</v>
      </c>
      <c r="J1651" t="s">
        <v>17</v>
      </c>
      <c r="K1651">
        <v>12319</v>
      </c>
      <c r="L1651">
        <v>20</v>
      </c>
      <c r="M1651">
        <v>246380</v>
      </c>
      <c r="N1651" t="s">
        <v>21</v>
      </c>
    </row>
    <row r="1652" spans="5:14" x14ac:dyDescent="0.35">
      <c r="E1652" t="s">
        <v>61</v>
      </c>
      <c r="F1652" t="s">
        <v>37</v>
      </c>
      <c r="G1652" t="s">
        <v>36</v>
      </c>
      <c r="H1652" t="s">
        <v>13</v>
      </c>
      <c r="I1652" t="s">
        <v>14</v>
      </c>
      <c r="J1652" t="s">
        <v>19</v>
      </c>
      <c r="K1652">
        <v>9639</v>
      </c>
      <c r="L1652">
        <v>30</v>
      </c>
      <c r="M1652">
        <v>289170</v>
      </c>
      <c r="N1652" t="s">
        <v>21</v>
      </c>
    </row>
    <row r="1653" spans="5:14" x14ac:dyDescent="0.35">
      <c r="E1653" t="s">
        <v>61</v>
      </c>
      <c r="F1653" t="s">
        <v>37</v>
      </c>
      <c r="G1653" t="s">
        <v>36</v>
      </c>
      <c r="H1653" t="s">
        <v>13</v>
      </c>
      <c r="I1653" t="s">
        <v>14</v>
      </c>
      <c r="J1653" t="s">
        <v>20</v>
      </c>
      <c r="K1653">
        <v>17163</v>
      </c>
      <c r="L1653">
        <v>15</v>
      </c>
      <c r="M1653">
        <v>257445</v>
      </c>
      <c r="N1653" t="s">
        <v>21</v>
      </c>
    </row>
    <row r="1654" spans="5:14" x14ac:dyDescent="0.35">
      <c r="E1654" t="s">
        <v>61</v>
      </c>
      <c r="F1654" t="s">
        <v>37</v>
      </c>
      <c r="G1654" t="s">
        <v>36</v>
      </c>
      <c r="H1654" t="s">
        <v>22</v>
      </c>
      <c r="I1654" t="s">
        <v>23</v>
      </c>
      <c r="J1654" t="s">
        <v>24</v>
      </c>
      <c r="K1654">
        <v>19325</v>
      </c>
      <c r="L1654">
        <v>2</v>
      </c>
      <c r="M1654">
        <v>38650</v>
      </c>
      <c r="N1654" t="s">
        <v>21</v>
      </c>
    </row>
    <row r="1655" spans="5:14" x14ac:dyDescent="0.35">
      <c r="E1655" t="s">
        <v>61</v>
      </c>
      <c r="F1655" t="s">
        <v>37</v>
      </c>
      <c r="G1655" t="s">
        <v>36</v>
      </c>
      <c r="H1655" t="s">
        <v>22</v>
      </c>
      <c r="I1655" t="s">
        <v>23</v>
      </c>
      <c r="J1655" t="s">
        <v>25</v>
      </c>
      <c r="K1655">
        <v>14529</v>
      </c>
      <c r="L1655">
        <v>2</v>
      </c>
      <c r="M1655">
        <v>29058</v>
      </c>
      <c r="N1655" t="s">
        <v>18</v>
      </c>
    </row>
    <row r="1656" spans="5:14" x14ac:dyDescent="0.35">
      <c r="E1656" t="s">
        <v>61</v>
      </c>
      <c r="F1656" t="s">
        <v>37</v>
      </c>
      <c r="G1656" t="s">
        <v>36</v>
      </c>
      <c r="H1656" t="s">
        <v>22</v>
      </c>
      <c r="I1656" t="s">
        <v>23</v>
      </c>
      <c r="J1656" t="s">
        <v>26</v>
      </c>
      <c r="K1656">
        <v>11788</v>
      </c>
      <c r="L1656">
        <v>5</v>
      </c>
      <c r="M1656">
        <v>58940</v>
      </c>
      <c r="N1656" t="s">
        <v>18</v>
      </c>
    </row>
    <row r="1657" spans="5:14" x14ac:dyDescent="0.35">
      <c r="E1657" t="s">
        <v>61</v>
      </c>
      <c r="F1657" t="s">
        <v>37</v>
      </c>
      <c r="G1657" t="s">
        <v>36</v>
      </c>
      <c r="H1657" t="s">
        <v>22</v>
      </c>
      <c r="I1657" t="s">
        <v>27</v>
      </c>
      <c r="J1657" t="s">
        <v>28</v>
      </c>
      <c r="K1657">
        <v>12075</v>
      </c>
      <c r="L1657">
        <v>3</v>
      </c>
      <c r="M1657">
        <v>36225</v>
      </c>
      <c r="N1657" t="s">
        <v>21</v>
      </c>
    </row>
    <row r="1658" spans="5:14" x14ac:dyDescent="0.35">
      <c r="E1658" t="s">
        <v>61</v>
      </c>
      <c r="F1658" t="s">
        <v>38</v>
      </c>
      <c r="G1658" t="s">
        <v>36</v>
      </c>
      <c r="H1658" t="s">
        <v>13</v>
      </c>
      <c r="I1658" t="s">
        <v>14</v>
      </c>
      <c r="J1658" t="s">
        <v>15</v>
      </c>
      <c r="K1658">
        <v>13281</v>
      </c>
      <c r="L1658">
        <v>10</v>
      </c>
      <c r="M1658">
        <v>132810</v>
      </c>
      <c r="N1658" t="s">
        <v>18</v>
      </c>
    </row>
    <row r="1659" spans="5:14" x14ac:dyDescent="0.35">
      <c r="E1659" t="s">
        <v>61</v>
      </c>
      <c r="F1659" t="s">
        <v>38</v>
      </c>
      <c r="G1659" t="s">
        <v>36</v>
      </c>
      <c r="H1659" t="s">
        <v>13</v>
      </c>
      <c r="I1659" t="s">
        <v>14</v>
      </c>
      <c r="J1659" t="s">
        <v>17</v>
      </c>
      <c r="K1659">
        <v>11655</v>
      </c>
      <c r="L1659">
        <v>20</v>
      </c>
      <c r="M1659">
        <v>233100</v>
      </c>
      <c r="N1659" t="s">
        <v>18</v>
      </c>
    </row>
    <row r="1660" spans="5:14" x14ac:dyDescent="0.35">
      <c r="E1660" t="s">
        <v>61</v>
      </c>
      <c r="F1660" t="s">
        <v>38</v>
      </c>
      <c r="G1660" t="s">
        <v>36</v>
      </c>
      <c r="H1660" t="s">
        <v>13</v>
      </c>
      <c r="I1660" t="s">
        <v>14</v>
      </c>
      <c r="J1660" t="s">
        <v>19</v>
      </c>
      <c r="K1660">
        <v>19903</v>
      </c>
      <c r="L1660">
        <v>30</v>
      </c>
      <c r="M1660">
        <v>597090</v>
      </c>
      <c r="N1660" t="s">
        <v>21</v>
      </c>
    </row>
    <row r="1661" spans="5:14" x14ac:dyDescent="0.35">
      <c r="E1661" t="s">
        <v>61</v>
      </c>
      <c r="F1661" t="s">
        <v>38</v>
      </c>
      <c r="G1661" t="s">
        <v>36</v>
      </c>
      <c r="H1661" t="s">
        <v>13</v>
      </c>
      <c r="I1661" t="s">
        <v>14</v>
      </c>
      <c r="J1661" t="s">
        <v>20</v>
      </c>
      <c r="K1661">
        <v>13706</v>
      </c>
      <c r="L1661">
        <v>15</v>
      </c>
      <c r="M1661">
        <v>205590</v>
      </c>
      <c r="N1661" t="s">
        <v>21</v>
      </c>
    </row>
    <row r="1662" spans="5:14" x14ac:dyDescent="0.35">
      <c r="E1662" t="s">
        <v>61</v>
      </c>
      <c r="F1662" t="s">
        <v>38</v>
      </c>
      <c r="G1662" t="s">
        <v>36</v>
      </c>
      <c r="H1662" t="s">
        <v>22</v>
      </c>
      <c r="I1662" t="s">
        <v>23</v>
      </c>
      <c r="J1662" t="s">
        <v>24</v>
      </c>
      <c r="K1662">
        <v>16395</v>
      </c>
      <c r="L1662">
        <v>2</v>
      </c>
      <c r="M1662">
        <v>32790</v>
      </c>
      <c r="N1662" t="s">
        <v>18</v>
      </c>
    </row>
    <row r="1663" spans="5:14" x14ac:dyDescent="0.35">
      <c r="E1663" t="s">
        <v>61</v>
      </c>
      <c r="F1663" t="s">
        <v>38</v>
      </c>
      <c r="G1663" t="s">
        <v>36</v>
      </c>
      <c r="H1663" t="s">
        <v>22</v>
      </c>
      <c r="I1663" t="s">
        <v>23</v>
      </c>
      <c r="J1663" t="s">
        <v>25</v>
      </c>
      <c r="K1663">
        <v>13807</v>
      </c>
      <c r="L1663">
        <v>2</v>
      </c>
      <c r="M1663">
        <v>27614</v>
      </c>
      <c r="N1663" t="s">
        <v>18</v>
      </c>
    </row>
    <row r="1664" spans="5:14" x14ac:dyDescent="0.35">
      <c r="E1664" t="s">
        <v>61</v>
      </c>
      <c r="F1664" t="s">
        <v>38</v>
      </c>
      <c r="G1664" t="s">
        <v>36</v>
      </c>
      <c r="H1664" t="s">
        <v>22</v>
      </c>
      <c r="I1664" t="s">
        <v>23</v>
      </c>
      <c r="J1664" t="s">
        <v>26</v>
      </c>
      <c r="K1664">
        <v>18162</v>
      </c>
      <c r="L1664">
        <v>5</v>
      </c>
      <c r="M1664">
        <v>90810</v>
      </c>
      <c r="N1664" t="s">
        <v>16</v>
      </c>
    </row>
    <row r="1665" spans="5:14" x14ac:dyDescent="0.35">
      <c r="E1665" t="s">
        <v>61</v>
      </c>
      <c r="F1665" t="s">
        <v>38</v>
      </c>
      <c r="G1665" t="s">
        <v>36</v>
      </c>
      <c r="H1665" t="s">
        <v>22</v>
      </c>
      <c r="I1665" t="s">
        <v>27</v>
      </c>
      <c r="J1665" t="s">
        <v>28</v>
      </c>
      <c r="K1665">
        <v>17531</v>
      </c>
      <c r="L1665">
        <v>3</v>
      </c>
      <c r="M1665">
        <v>52593</v>
      </c>
      <c r="N1665" t="s">
        <v>16</v>
      </c>
    </row>
    <row r="1666" spans="5:14" x14ac:dyDescent="0.35">
      <c r="E1666" t="s">
        <v>61</v>
      </c>
      <c r="F1666" t="s">
        <v>39</v>
      </c>
      <c r="G1666" t="s">
        <v>36</v>
      </c>
      <c r="H1666" t="s">
        <v>13</v>
      </c>
      <c r="I1666" t="s">
        <v>14</v>
      </c>
      <c r="J1666" t="s">
        <v>15</v>
      </c>
      <c r="K1666">
        <v>10401</v>
      </c>
      <c r="L1666">
        <v>10</v>
      </c>
      <c r="M1666">
        <v>104010</v>
      </c>
      <c r="N1666" t="s">
        <v>18</v>
      </c>
    </row>
    <row r="1667" spans="5:14" x14ac:dyDescent="0.35">
      <c r="E1667" t="s">
        <v>61</v>
      </c>
      <c r="F1667" t="s">
        <v>39</v>
      </c>
      <c r="G1667" t="s">
        <v>36</v>
      </c>
      <c r="H1667" t="s">
        <v>13</v>
      </c>
      <c r="I1667" t="s">
        <v>14</v>
      </c>
      <c r="J1667" t="s">
        <v>17</v>
      </c>
      <c r="K1667">
        <v>20069</v>
      </c>
      <c r="L1667">
        <v>20</v>
      </c>
      <c r="M1667">
        <v>401380</v>
      </c>
      <c r="N1667" t="s">
        <v>16</v>
      </c>
    </row>
    <row r="1668" spans="5:14" x14ac:dyDescent="0.35">
      <c r="E1668" t="s">
        <v>61</v>
      </c>
      <c r="F1668" t="s">
        <v>39</v>
      </c>
      <c r="G1668" t="s">
        <v>36</v>
      </c>
      <c r="H1668" t="s">
        <v>13</v>
      </c>
      <c r="I1668" t="s">
        <v>14</v>
      </c>
      <c r="J1668" t="s">
        <v>19</v>
      </c>
      <c r="K1668">
        <v>16562</v>
      </c>
      <c r="L1668">
        <v>30</v>
      </c>
      <c r="M1668">
        <v>496860</v>
      </c>
      <c r="N1668" t="s">
        <v>16</v>
      </c>
    </row>
    <row r="1669" spans="5:14" x14ac:dyDescent="0.35">
      <c r="E1669" t="s">
        <v>61</v>
      </c>
      <c r="F1669" t="s">
        <v>39</v>
      </c>
      <c r="G1669" t="s">
        <v>36</v>
      </c>
      <c r="H1669" t="s">
        <v>13</v>
      </c>
      <c r="I1669" t="s">
        <v>14</v>
      </c>
      <c r="J1669" t="s">
        <v>20</v>
      </c>
      <c r="K1669">
        <v>15676</v>
      </c>
      <c r="L1669">
        <v>15</v>
      </c>
      <c r="M1669">
        <v>235140</v>
      </c>
      <c r="N1669" t="s">
        <v>21</v>
      </c>
    </row>
    <row r="1670" spans="5:14" x14ac:dyDescent="0.35">
      <c r="E1670" t="s">
        <v>61</v>
      </c>
      <c r="F1670" t="s">
        <v>39</v>
      </c>
      <c r="G1670" t="s">
        <v>36</v>
      </c>
      <c r="H1670" t="s">
        <v>22</v>
      </c>
      <c r="I1670" t="s">
        <v>23</v>
      </c>
      <c r="J1670" t="s">
        <v>24</v>
      </c>
      <c r="K1670">
        <v>21060</v>
      </c>
      <c r="L1670">
        <v>2</v>
      </c>
      <c r="M1670">
        <v>42120</v>
      </c>
      <c r="N1670" t="s">
        <v>16</v>
      </c>
    </row>
    <row r="1671" spans="5:14" x14ac:dyDescent="0.35">
      <c r="E1671" t="s">
        <v>61</v>
      </c>
      <c r="F1671" t="s">
        <v>39</v>
      </c>
      <c r="G1671" t="s">
        <v>36</v>
      </c>
      <c r="H1671" t="s">
        <v>22</v>
      </c>
      <c r="I1671" t="s">
        <v>23</v>
      </c>
      <c r="J1671" t="s">
        <v>25</v>
      </c>
      <c r="K1671">
        <v>17542</v>
      </c>
      <c r="L1671">
        <v>2</v>
      </c>
      <c r="M1671">
        <v>35084</v>
      </c>
      <c r="N1671" t="s">
        <v>21</v>
      </c>
    </row>
    <row r="1672" spans="5:14" x14ac:dyDescent="0.35">
      <c r="E1672" t="s">
        <v>61</v>
      </c>
      <c r="F1672" t="s">
        <v>39</v>
      </c>
      <c r="G1672" t="s">
        <v>36</v>
      </c>
      <c r="H1672" t="s">
        <v>22</v>
      </c>
      <c r="I1672" t="s">
        <v>23</v>
      </c>
      <c r="J1672" t="s">
        <v>26</v>
      </c>
      <c r="K1672">
        <v>7655</v>
      </c>
      <c r="L1672">
        <v>5</v>
      </c>
      <c r="M1672">
        <v>38275</v>
      </c>
      <c r="N1672" t="s">
        <v>21</v>
      </c>
    </row>
    <row r="1673" spans="5:14" x14ac:dyDescent="0.35">
      <c r="E1673" t="s">
        <v>61</v>
      </c>
      <c r="F1673" t="s">
        <v>39</v>
      </c>
      <c r="G1673" t="s">
        <v>36</v>
      </c>
      <c r="H1673" t="s">
        <v>22</v>
      </c>
      <c r="I1673" t="s">
        <v>27</v>
      </c>
      <c r="J1673" t="s">
        <v>28</v>
      </c>
      <c r="K1673">
        <v>14155</v>
      </c>
      <c r="L1673">
        <v>3</v>
      </c>
      <c r="M1673">
        <v>42465</v>
      </c>
      <c r="N1673" t="s">
        <v>18</v>
      </c>
    </row>
    <row r="1674" spans="5:14" x14ac:dyDescent="0.35">
      <c r="E1674" t="s">
        <v>61</v>
      </c>
      <c r="F1674" t="s">
        <v>40</v>
      </c>
      <c r="G1674" t="s">
        <v>36</v>
      </c>
      <c r="H1674" t="s">
        <v>13</v>
      </c>
      <c r="I1674" t="s">
        <v>14</v>
      </c>
      <c r="J1674" t="s">
        <v>15</v>
      </c>
      <c r="K1674">
        <v>12531</v>
      </c>
      <c r="L1674">
        <v>10</v>
      </c>
      <c r="M1674">
        <v>125310</v>
      </c>
      <c r="N1674" t="s">
        <v>16</v>
      </c>
    </row>
    <row r="1675" spans="5:14" x14ac:dyDescent="0.35">
      <c r="E1675" t="s">
        <v>61</v>
      </c>
      <c r="F1675" t="s">
        <v>40</v>
      </c>
      <c r="G1675" t="s">
        <v>36</v>
      </c>
      <c r="H1675" t="s">
        <v>13</v>
      </c>
      <c r="I1675" t="s">
        <v>14</v>
      </c>
      <c r="J1675" t="s">
        <v>17</v>
      </c>
      <c r="K1675">
        <v>16324</v>
      </c>
      <c r="L1675">
        <v>20</v>
      </c>
      <c r="M1675">
        <v>326480</v>
      </c>
      <c r="N1675" t="s">
        <v>16</v>
      </c>
    </row>
    <row r="1676" spans="5:14" x14ac:dyDescent="0.35">
      <c r="E1676" t="s">
        <v>61</v>
      </c>
      <c r="F1676" t="s">
        <v>40</v>
      </c>
      <c r="G1676" t="s">
        <v>36</v>
      </c>
      <c r="H1676" t="s">
        <v>13</v>
      </c>
      <c r="I1676" t="s">
        <v>14</v>
      </c>
      <c r="J1676" t="s">
        <v>19</v>
      </c>
      <c r="K1676">
        <v>18138</v>
      </c>
      <c r="L1676">
        <v>30</v>
      </c>
      <c r="M1676">
        <v>544140</v>
      </c>
      <c r="N1676" t="s">
        <v>18</v>
      </c>
    </row>
    <row r="1677" spans="5:14" x14ac:dyDescent="0.35">
      <c r="E1677" t="s">
        <v>61</v>
      </c>
      <c r="F1677" t="s">
        <v>40</v>
      </c>
      <c r="G1677" t="s">
        <v>36</v>
      </c>
      <c r="H1677" t="s">
        <v>13</v>
      </c>
      <c r="I1677" t="s">
        <v>14</v>
      </c>
      <c r="J1677" t="s">
        <v>20</v>
      </c>
      <c r="K1677">
        <v>7329</v>
      </c>
      <c r="L1677">
        <v>15</v>
      </c>
      <c r="M1677">
        <v>109935</v>
      </c>
      <c r="N1677" t="s">
        <v>18</v>
      </c>
    </row>
    <row r="1678" spans="5:14" x14ac:dyDescent="0.35">
      <c r="E1678" t="s">
        <v>61</v>
      </c>
      <c r="F1678" t="s">
        <v>40</v>
      </c>
      <c r="G1678" t="s">
        <v>36</v>
      </c>
      <c r="H1678" t="s">
        <v>22</v>
      </c>
      <c r="I1678" t="s">
        <v>23</v>
      </c>
      <c r="J1678" t="s">
        <v>24</v>
      </c>
      <c r="K1678">
        <v>13275</v>
      </c>
      <c r="L1678">
        <v>2</v>
      </c>
      <c r="M1678">
        <v>26550</v>
      </c>
      <c r="N1678" t="s">
        <v>18</v>
      </c>
    </row>
    <row r="1679" spans="5:14" x14ac:dyDescent="0.35">
      <c r="E1679" t="s">
        <v>61</v>
      </c>
      <c r="F1679" t="s">
        <v>40</v>
      </c>
      <c r="G1679" t="s">
        <v>36</v>
      </c>
      <c r="H1679" t="s">
        <v>22</v>
      </c>
      <c r="I1679" t="s">
        <v>23</v>
      </c>
      <c r="J1679" t="s">
        <v>25</v>
      </c>
      <c r="K1679">
        <v>19488</v>
      </c>
      <c r="L1679">
        <v>2</v>
      </c>
      <c r="M1679">
        <v>38976</v>
      </c>
      <c r="N1679" t="s">
        <v>16</v>
      </c>
    </row>
    <row r="1680" spans="5:14" x14ac:dyDescent="0.35">
      <c r="E1680" t="s">
        <v>61</v>
      </c>
      <c r="F1680" t="s">
        <v>40</v>
      </c>
      <c r="G1680" t="s">
        <v>36</v>
      </c>
      <c r="H1680" t="s">
        <v>22</v>
      </c>
      <c r="I1680" t="s">
        <v>23</v>
      </c>
      <c r="J1680" t="s">
        <v>26</v>
      </c>
      <c r="K1680">
        <v>16531</v>
      </c>
      <c r="L1680">
        <v>5</v>
      </c>
      <c r="M1680">
        <v>82655</v>
      </c>
      <c r="N1680" t="s">
        <v>16</v>
      </c>
    </row>
    <row r="1681" spans="5:14" x14ac:dyDescent="0.35">
      <c r="E1681" t="s">
        <v>61</v>
      </c>
      <c r="F1681" t="s">
        <v>40</v>
      </c>
      <c r="G1681" t="s">
        <v>36</v>
      </c>
      <c r="H1681" t="s">
        <v>22</v>
      </c>
      <c r="I1681" t="s">
        <v>27</v>
      </c>
      <c r="J1681" t="s">
        <v>28</v>
      </c>
      <c r="K1681">
        <v>6985</v>
      </c>
      <c r="L1681">
        <v>3</v>
      </c>
      <c r="M1681">
        <v>20955</v>
      </c>
      <c r="N1681" t="s">
        <v>16</v>
      </c>
    </row>
    <row r="1682" spans="5:14" x14ac:dyDescent="0.35">
      <c r="E1682" t="s">
        <v>61</v>
      </c>
      <c r="F1682" t="s">
        <v>41</v>
      </c>
      <c r="G1682" t="s">
        <v>42</v>
      </c>
      <c r="H1682" t="s">
        <v>13</v>
      </c>
      <c r="I1682" t="s">
        <v>14</v>
      </c>
      <c r="J1682" t="s">
        <v>15</v>
      </c>
      <c r="K1682">
        <v>8210</v>
      </c>
      <c r="L1682">
        <v>10</v>
      </c>
      <c r="M1682">
        <v>82100</v>
      </c>
      <c r="N1682" t="s">
        <v>18</v>
      </c>
    </row>
    <row r="1683" spans="5:14" x14ac:dyDescent="0.35">
      <c r="E1683" t="s">
        <v>61</v>
      </c>
      <c r="F1683" t="s">
        <v>41</v>
      </c>
      <c r="G1683" t="s">
        <v>42</v>
      </c>
      <c r="H1683" t="s">
        <v>13</v>
      </c>
      <c r="I1683" t="s">
        <v>14</v>
      </c>
      <c r="J1683" t="s">
        <v>17</v>
      </c>
      <c r="K1683">
        <v>11115</v>
      </c>
      <c r="L1683">
        <v>20</v>
      </c>
      <c r="M1683">
        <v>222300</v>
      </c>
      <c r="N1683" t="s">
        <v>21</v>
      </c>
    </row>
    <row r="1684" spans="5:14" x14ac:dyDescent="0.35">
      <c r="E1684" t="s">
        <v>61</v>
      </c>
      <c r="F1684" t="s">
        <v>41</v>
      </c>
      <c r="G1684" t="s">
        <v>42</v>
      </c>
      <c r="H1684" t="s">
        <v>13</v>
      </c>
      <c r="I1684" t="s">
        <v>14</v>
      </c>
      <c r="J1684" t="s">
        <v>19</v>
      </c>
      <c r="K1684">
        <v>8437</v>
      </c>
      <c r="L1684">
        <v>30</v>
      </c>
      <c r="M1684">
        <v>253110</v>
      </c>
      <c r="N1684" t="s">
        <v>21</v>
      </c>
    </row>
    <row r="1685" spans="5:14" x14ac:dyDescent="0.35">
      <c r="E1685" t="s">
        <v>61</v>
      </c>
      <c r="F1685" t="s">
        <v>41</v>
      </c>
      <c r="G1685" t="s">
        <v>42</v>
      </c>
      <c r="H1685" t="s">
        <v>13</v>
      </c>
      <c r="I1685" t="s">
        <v>14</v>
      </c>
      <c r="J1685" t="s">
        <v>20</v>
      </c>
      <c r="K1685">
        <v>14055</v>
      </c>
      <c r="L1685">
        <v>15</v>
      </c>
      <c r="M1685">
        <v>210825</v>
      </c>
      <c r="N1685" t="s">
        <v>18</v>
      </c>
    </row>
    <row r="1686" spans="5:14" x14ac:dyDescent="0.35">
      <c r="E1686" t="s">
        <v>61</v>
      </c>
      <c r="F1686" t="s">
        <v>41</v>
      </c>
      <c r="G1686" t="s">
        <v>42</v>
      </c>
      <c r="H1686" t="s">
        <v>22</v>
      </c>
      <c r="I1686" t="s">
        <v>23</v>
      </c>
      <c r="J1686" t="s">
        <v>24</v>
      </c>
      <c r="K1686">
        <v>12655</v>
      </c>
      <c r="L1686">
        <v>2</v>
      </c>
      <c r="M1686">
        <v>25310</v>
      </c>
      <c r="N1686" t="s">
        <v>16</v>
      </c>
    </row>
    <row r="1687" spans="5:14" x14ac:dyDescent="0.35">
      <c r="E1687" t="s">
        <v>61</v>
      </c>
      <c r="F1687" t="s">
        <v>41</v>
      </c>
      <c r="G1687" t="s">
        <v>42</v>
      </c>
      <c r="H1687" t="s">
        <v>22</v>
      </c>
      <c r="I1687" t="s">
        <v>23</v>
      </c>
      <c r="J1687" t="s">
        <v>25</v>
      </c>
      <c r="K1687">
        <v>19857</v>
      </c>
      <c r="L1687">
        <v>2</v>
      </c>
      <c r="M1687">
        <v>39714</v>
      </c>
      <c r="N1687" t="s">
        <v>16</v>
      </c>
    </row>
    <row r="1688" spans="5:14" x14ac:dyDescent="0.35">
      <c r="E1688" t="s">
        <v>61</v>
      </c>
      <c r="F1688" t="s">
        <v>41</v>
      </c>
      <c r="G1688" t="s">
        <v>42</v>
      </c>
      <c r="H1688" t="s">
        <v>22</v>
      </c>
      <c r="I1688" t="s">
        <v>23</v>
      </c>
      <c r="J1688" t="s">
        <v>26</v>
      </c>
      <c r="K1688">
        <v>17190</v>
      </c>
      <c r="L1688">
        <v>5</v>
      </c>
      <c r="M1688">
        <v>85950</v>
      </c>
      <c r="N1688" t="s">
        <v>16</v>
      </c>
    </row>
    <row r="1689" spans="5:14" x14ac:dyDescent="0.35">
      <c r="E1689" t="s">
        <v>61</v>
      </c>
      <c r="F1689" t="s">
        <v>41</v>
      </c>
      <c r="G1689" t="s">
        <v>42</v>
      </c>
      <c r="H1689" t="s">
        <v>22</v>
      </c>
      <c r="I1689" t="s">
        <v>27</v>
      </c>
      <c r="J1689" t="s">
        <v>28</v>
      </c>
      <c r="K1689">
        <v>21664</v>
      </c>
      <c r="L1689">
        <v>3</v>
      </c>
      <c r="M1689">
        <v>64992</v>
      </c>
      <c r="N1689" t="s">
        <v>16</v>
      </c>
    </row>
    <row r="1690" spans="5:14" x14ac:dyDescent="0.35">
      <c r="E1690" t="s">
        <v>61</v>
      </c>
      <c r="F1690" t="s">
        <v>43</v>
      </c>
      <c r="G1690" t="s">
        <v>42</v>
      </c>
      <c r="H1690" t="s">
        <v>13</v>
      </c>
      <c r="I1690" t="s">
        <v>14</v>
      </c>
      <c r="J1690" t="s">
        <v>15</v>
      </c>
      <c r="K1690">
        <v>9600</v>
      </c>
      <c r="L1690">
        <v>10</v>
      </c>
      <c r="M1690">
        <v>96000</v>
      </c>
      <c r="N1690" t="s">
        <v>18</v>
      </c>
    </row>
    <row r="1691" spans="5:14" x14ac:dyDescent="0.35">
      <c r="E1691" t="s">
        <v>61</v>
      </c>
      <c r="F1691" t="s">
        <v>43</v>
      </c>
      <c r="G1691" t="s">
        <v>42</v>
      </c>
      <c r="H1691" t="s">
        <v>13</v>
      </c>
      <c r="I1691" t="s">
        <v>14</v>
      </c>
      <c r="J1691" t="s">
        <v>17</v>
      </c>
      <c r="K1691">
        <v>16042</v>
      </c>
      <c r="L1691">
        <v>20</v>
      </c>
      <c r="M1691">
        <v>320840</v>
      </c>
      <c r="N1691" t="s">
        <v>18</v>
      </c>
    </row>
    <row r="1692" spans="5:14" x14ac:dyDescent="0.35">
      <c r="E1692" t="s">
        <v>61</v>
      </c>
      <c r="F1692" t="s">
        <v>43</v>
      </c>
      <c r="G1692" t="s">
        <v>42</v>
      </c>
      <c r="H1692" t="s">
        <v>13</v>
      </c>
      <c r="I1692" t="s">
        <v>14</v>
      </c>
      <c r="J1692" t="s">
        <v>19</v>
      </c>
      <c r="K1692">
        <v>10338</v>
      </c>
      <c r="L1692">
        <v>30</v>
      </c>
      <c r="M1692">
        <v>310140</v>
      </c>
      <c r="N1692" t="s">
        <v>16</v>
      </c>
    </row>
    <row r="1693" spans="5:14" x14ac:dyDescent="0.35">
      <c r="E1693" t="s">
        <v>61</v>
      </c>
      <c r="F1693" t="s">
        <v>43</v>
      </c>
      <c r="G1693" t="s">
        <v>42</v>
      </c>
      <c r="H1693" t="s">
        <v>13</v>
      </c>
      <c r="I1693" t="s">
        <v>14</v>
      </c>
      <c r="J1693" t="s">
        <v>20</v>
      </c>
      <c r="K1693">
        <v>7946</v>
      </c>
      <c r="L1693">
        <v>15</v>
      </c>
      <c r="M1693">
        <v>119190</v>
      </c>
      <c r="N1693" t="s">
        <v>16</v>
      </c>
    </row>
    <row r="1694" spans="5:14" x14ac:dyDescent="0.35">
      <c r="E1694" t="s">
        <v>61</v>
      </c>
      <c r="F1694" t="s">
        <v>43</v>
      </c>
      <c r="G1694" t="s">
        <v>42</v>
      </c>
      <c r="H1694" t="s">
        <v>22</v>
      </c>
      <c r="I1694" t="s">
        <v>23</v>
      </c>
      <c r="J1694" t="s">
        <v>24</v>
      </c>
      <c r="K1694">
        <v>20164</v>
      </c>
      <c r="L1694">
        <v>2</v>
      </c>
      <c r="M1694">
        <v>40328</v>
      </c>
      <c r="N1694" t="s">
        <v>21</v>
      </c>
    </row>
    <row r="1695" spans="5:14" x14ac:dyDescent="0.35">
      <c r="E1695" t="s">
        <v>61</v>
      </c>
      <c r="F1695" t="s">
        <v>43</v>
      </c>
      <c r="G1695" t="s">
        <v>42</v>
      </c>
      <c r="H1695" t="s">
        <v>22</v>
      </c>
      <c r="I1695" t="s">
        <v>23</v>
      </c>
      <c r="J1695" t="s">
        <v>25</v>
      </c>
      <c r="K1695">
        <v>15834</v>
      </c>
      <c r="L1695">
        <v>2</v>
      </c>
      <c r="M1695">
        <v>31668</v>
      </c>
      <c r="N1695" t="s">
        <v>16</v>
      </c>
    </row>
    <row r="1696" spans="5:14" x14ac:dyDescent="0.35">
      <c r="E1696" t="s">
        <v>61</v>
      </c>
      <c r="F1696" t="s">
        <v>43</v>
      </c>
      <c r="G1696" t="s">
        <v>42</v>
      </c>
      <c r="H1696" t="s">
        <v>22</v>
      </c>
      <c r="I1696" t="s">
        <v>23</v>
      </c>
      <c r="J1696" t="s">
        <v>26</v>
      </c>
      <c r="K1696">
        <v>12227</v>
      </c>
      <c r="L1696">
        <v>5</v>
      </c>
      <c r="M1696">
        <v>61135</v>
      </c>
      <c r="N1696" t="s">
        <v>16</v>
      </c>
    </row>
    <row r="1697" spans="5:14" x14ac:dyDescent="0.35">
      <c r="E1697" t="s">
        <v>61</v>
      </c>
      <c r="F1697" t="s">
        <v>43</v>
      </c>
      <c r="G1697" t="s">
        <v>42</v>
      </c>
      <c r="H1697" t="s">
        <v>22</v>
      </c>
      <c r="I1697" t="s">
        <v>27</v>
      </c>
      <c r="J1697" t="s">
        <v>28</v>
      </c>
      <c r="K1697">
        <v>13517</v>
      </c>
      <c r="L1697">
        <v>3</v>
      </c>
      <c r="M1697">
        <v>40551</v>
      </c>
      <c r="N1697" t="s">
        <v>21</v>
      </c>
    </row>
    <row r="1698" spans="5:14" x14ac:dyDescent="0.35">
      <c r="E1698" t="s">
        <v>61</v>
      </c>
      <c r="F1698" t="s">
        <v>44</v>
      </c>
      <c r="G1698" t="s">
        <v>42</v>
      </c>
      <c r="H1698" t="s">
        <v>13</v>
      </c>
      <c r="I1698" t="s">
        <v>14</v>
      </c>
      <c r="J1698" t="s">
        <v>15</v>
      </c>
      <c r="K1698">
        <v>8313</v>
      </c>
      <c r="L1698">
        <v>10</v>
      </c>
      <c r="M1698">
        <v>83130</v>
      </c>
      <c r="N1698" t="s">
        <v>16</v>
      </c>
    </row>
    <row r="1699" spans="5:14" x14ac:dyDescent="0.35">
      <c r="E1699" t="s">
        <v>61</v>
      </c>
      <c r="F1699" t="s">
        <v>44</v>
      </c>
      <c r="G1699" t="s">
        <v>42</v>
      </c>
      <c r="H1699" t="s">
        <v>13</v>
      </c>
      <c r="I1699" t="s">
        <v>14</v>
      </c>
      <c r="J1699" t="s">
        <v>17</v>
      </c>
      <c r="K1699">
        <v>13122</v>
      </c>
      <c r="L1699">
        <v>20</v>
      </c>
      <c r="M1699">
        <v>262440</v>
      </c>
      <c r="N1699" t="s">
        <v>21</v>
      </c>
    </row>
    <row r="1700" spans="5:14" x14ac:dyDescent="0.35">
      <c r="E1700" t="s">
        <v>61</v>
      </c>
      <c r="F1700" t="s">
        <v>44</v>
      </c>
      <c r="G1700" t="s">
        <v>42</v>
      </c>
      <c r="H1700" t="s">
        <v>13</v>
      </c>
      <c r="I1700" t="s">
        <v>14</v>
      </c>
      <c r="J1700" t="s">
        <v>19</v>
      </c>
      <c r="K1700">
        <v>14523</v>
      </c>
      <c r="L1700">
        <v>30</v>
      </c>
      <c r="M1700">
        <v>435690</v>
      </c>
      <c r="N1700" t="s">
        <v>16</v>
      </c>
    </row>
    <row r="1701" spans="5:14" x14ac:dyDescent="0.35">
      <c r="E1701" t="s">
        <v>61</v>
      </c>
      <c r="F1701" t="s">
        <v>44</v>
      </c>
      <c r="G1701" t="s">
        <v>42</v>
      </c>
      <c r="H1701" t="s">
        <v>13</v>
      </c>
      <c r="I1701" t="s">
        <v>14</v>
      </c>
      <c r="J1701" t="s">
        <v>20</v>
      </c>
      <c r="K1701">
        <v>17426</v>
      </c>
      <c r="L1701">
        <v>15</v>
      </c>
      <c r="M1701">
        <v>261390</v>
      </c>
      <c r="N1701" t="s">
        <v>18</v>
      </c>
    </row>
    <row r="1702" spans="5:14" x14ac:dyDescent="0.35">
      <c r="E1702" t="s">
        <v>61</v>
      </c>
      <c r="F1702" t="s">
        <v>44</v>
      </c>
      <c r="G1702" t="s">
        <v>42</v>
      </c>
      <c r="H1702" t="s">
        <v>22</v>
      </c>
      <c r="I1702" t="s">
        <v>23</v>
      </c>
      <c r="J1702" t="s">
        <v>24</v>
      </c>
      <c r="K1702">
        <v>18580</v>
      </c>
      <c r="L1702">
        <v>2</v>
      </c>
      <c r="M1702">
        <v>37160</v>
      </c>
      <c r="N1702" t="s">
        <v>16</v>
      </c>
    </row>
    <row r="1703" spans="5:14" x14ac:dyDescent="0.35">
      <c r="E1703" t="s">
        <v>61</v>
      </c>
      <c r="F1703" t="s">
        <v>44</v>
      </c>
      <c r="G1703" t="s">
        <v>42</v>
      </c>
      <c r="H1703" t="s">
        <v>22</v>
      </c>
      <c r="I1703" t="s">
        <v>23</v>
      </c>
      <c r="J1703" t="s">
        <v>25</v>
      </c>
      <c r="K1703">
        <v>9972</v>
      </c>
      <c r="L1703">
        <v>2</v>
      </c>
      <c r="M1703">
        <v>19944</v>
      </c>
      <c r="N1703" t="s">
        <v>18</v>
      </c>
    </row>
    <row r="1704" spans="5:14" x14ac:dyDescent="0.35">
      <c r="E1704" t="s">
        <v>61</v>
      </c>
      <c r="F1704" t="s">
        <v>44</v>
      </c>
      <c r="G1704" t="s">
        <v>42</v>
      </c>
      <c r="H1704" t="s">
        <v>22</v>
      </c>
      <c r="I1704" t="s">
        <v>23</v>
      </c>
      <c r="J1704" t="s">
        <v>26</v>
      </c>
      <c r="K1704">
        <v>11764</v>
      </c>
      <c r="L1704">
        <v>5</v>
      </c>
      <c r="M1704">
        <v>58820</v>
      </c>
      <c r="N1704" t="s">
        <v>18</v>
      </c>
    </row>
    <row r="1705" spans="5:14" x14ac:dyDescent="0.35">
      <c r="E1705" t="s">
        <v>61</v>
      </c>
      <c r="F1705" t="s">
        <v>44</v>
      </c>
      <c r="G1705" t="s">
        <v>42</v>
      </c>
      <c r="H1705" t="s">
        <v>22</v>
      </c>
      <c r="I1705" t="s">
        <v>27</v>
      </c>
      <c r="J1705" t="s">
        <v>28</v>
      </c>
      <c r="K1705">
        <v>14142</v>
      </c>
      <c r="L1705">
        <v>3</v>
      </c>
      <c r="M1705">
        <v>42426</v>
      </c>
      <c r="N1705" t="s">
        <v>21</v>
      </c>
    </row>
    <row r="1706" spans="5:14" x14ac:dyDescent="0.35">
      <c r="E1706" t="s">
        <v>61</v>
      </c>
      <c r="F1706" t="s">
        <v>45</v>
      </c>
      <c r="G1706" t="s">
        <v>42</v>
      </c>
      <c r="H1706" t="s">
        <v>13</v>
      </c>
      <c r="I1706" t="s">
        <v>14</v>
      </c>
      <c r="J1706" t="s">
        <v>15</v>
      </c>
      <c r="K1706">
        <v>15210</v>
      </c>
      <c r="L1706">
        <v>10</v>
      </c>
      <c r="M1706">
        <v>152100</v>
      </c>
      <c r="N1706" t="s">
        <v>21</v>
      </c>
    </row>
    <row r="1707" spans="5:14" x14ac:dyDescent="0.35">
      <c r="E1707" t="s">
        <v>61</v>
      </c>
      <c r="F1707" t="s">
        <v>45</v>
      </c>
      <c r="G1707" t="s">
        <v>42</v>
      </c>
      <c r="H1707" t="s">
        <v>13</v>
      </c>
      <c r="I1707" t="s">
        <v>14</v>
      </c>
      <c r="J1707" t="s">
        <v>17</v>
      </c>
      <c r="K1707">
        <v>14080</v>
      </c>
      <c r="L1707">
        <v>20</v>
      </c>
      <c r="M1707">
        <v>281600</v>
      </c>
      <c r="N1707" t="s">
        <v>16</v>
      </c>
    </row>
    <row r="1708" spans="5:14" x14ac:dyDescent="0.35">
      <c r="E1708" t="s">
        <v>61</v>
      </c>
      <c r="F1708" t="s">
        <v>45</v>
      </c>
      <c r="G1708" t="s">
        <v>42</v>
      </c>
      <c r="H1708" t="s">
        <v>13</v>
      </c>
      <c r="I1708" t="s">
        <v>14</v>
      </c>
      <c r="J1708" t="s">
        <v>19</v>
      </c>
      <c r="K1708">
        <v>13674</v>
      </c>
      <c r="L1708">
        <v>30</v>
      </c>
      <c r="M1708">
        <v>410220</v>
      </c>
      <c r="N1708" t="s">
        <v>16</v>
      </c>
    </row>
    <row r="1709" spans="5:14" x14ac:dyDescent="0.35">
      <c r="E1709" t="s">
        <v>61</v>
      </c>
      <c r="F1709" t="s">
        <v>45</v>
      </c>
      <c r="G1709" t="s">
        <v>42</v>
      </c>
      <c r="H1709" t="s">
        <v>13</v>
      </c>
      <c r="I1709" t="s">
        <v>14</v>
      </c>
      <c r="J1709" t="s">
        <v>20</v>
      </c>
      <c r="K1709">
        <v>22291</v>
      </c>
      <c r="L1709">
        <v>15</v>
      </c>
      <c r="M1709">
        <v>334365</v>
      </c>
      <c r="N1709" t="s">
        <v>21</v>
      </c>
    </row>
    <row r="1710" spans="5:14" x14ac:dyDescent="0.35">
      <c r="E1710" t="s">
        <v>61</v>
      </c>
      <c r="F1710" t="s">
        <v>45</v>
      </c>
      <c r="G1710" t="s">
        <v>42</v>
      </c>
      <c r="H1710" t="s">
        <v>22</v>
      </c>
      <c r="I1710" t="s">
        <v>23</v>
      </c>
      <c r="J1710" t="s">
        <v>24</v>
      </c>
      <c r="K1710">
        <v>16187</v>
      </c>
      <c r="L1710">
        <v>2</v>
      </c>
      <c r="M1710">
        <v>32374</v>
      </c>
      <c r="N1710" t="s">
        <v>18</v>
      </c>
    </row>
    <row r="1711" spans="5:14" x14ac:dyDescent="0.35">
      <c r="E1711" t="s">
        <v>61</v>
      </c>
      <c r="F1711" t="s">
        <v>45</v>
      </c>
      <c r="G1711" t="s">
        <v>42</v>
      </c>
      <c r="H1711" t="s">
        <v>22</v>
      </c>
      <c r="I1711" t="s">
        <v>23</v>
      </c>
      <c r="J1711" t="s">
        <v>25</v>
      </c>
      <c r="K1711">
        <v>11206</v>
      </c>
      <c r="L1711">
        <v>2</v>
      </c>
      <c r="M1711">
        <v>22412</v>
      </c>
      <c r="N1711" t="s">
        <v>18</v>
      </c>
    </row>
    <row r="1712" spans="5:14" x14ac:dyDescent="0.35">
      <c r="E1712" t="s">
        <v>61</v>
      </c>
      <c r="F1712" t="s">
        <v>45</v>
      </c>
      <c r="G1712" t="s">
        <v>42</v>
      </c>
      <c r="H1712" t="s">
        <v>22</v>
      </c>
      <c r="I1712" t="s">
        <v>23</v>
      </c>
      <c r="J1712" t="s">
        <v>26</v>
      </c>
      <c r="K1712">
        <v>11940</v>
      </c>
      <c r="L1712">
        <v>5</v>
      </c>
      <c r="M1712">
        <v>59700</v>
      </c>
      <c r="N1712" t="s">
        <v>18</v>
      </c>
    </row>
    <row r="1713" spans="5:14" x14ac:dyDescent="0.35">
      <c r="E1713" t="s">
        <v>61</v>
      </c>
      <c r="F1713" t="s">
        <v>45</v>
      </c>
      <c r="G1713" t="s">
        <v>42</v>
      </c>
      <c r="H1713" t="s">
        <v>22</v>
      </c>
      <c r="I1713" t="s">
        <v>27</v>
      </c>
      <c r="J1713" t="s">
        <v>28</v>
      </c>
      <c r="K1713">
        <v>11439</v>
      </c>
      <c r="L1713">
        <v>3</v>
      </c>
      <c r="M1713">
        <v>34317</v>
      </c>
      <c r="N1713" t="s">
        <v>21</v>
      </c>
    </row>
    <row r="1714" spans="5:14" x14ac:dyDescent="0.35">
      <c r="E1714" t="s">
        <v>61</v>
      </c>
      <c r="F1714" t="s">
        <v>46</v>
      </c>
      <c r="G1714" t="s">
        <v>42</v>
      </c>
      <c r="H1714" t="s">
        <v>13</v>
      </c>
      <c r="I1714" t="s">
        <v>14</v>
      </c>
      <c r="J1714" t="s">
        <v>15</v>
      </c>
      <c r="K1714">
        <v>17980</v>
      </c>
      <c r="L1714">
        <v>10</v>
      </c>
      <c r="M1714">
        <v>179800</v>
      </c>
      <c r="N1714" t="s">
        <v>21</v>
      </c>
    </row>
    <row r="1715" spans="5:14" x14ac:dyDescent="0.35">
      <c r="E1715" t="s">
        <v>61</v>
      </c>
      <c r="F1715" t="s">
        <v>46</v>
      </c>
      <c r="G1715" t="s">
        <v>42</v>
      </c>
      <c r="H1715" t="s">
        <v>13</v>
      </c>
      <c r="I1715" t="s">
        <v>14</v>
      </c>
      <c r="J1715" t="s">
        <v>17</v>
      </c>
      <c r="K1715">
        <v>14658</v>
      </c>
      <c r="L1715">
        <v>20</v>
      </c>
      <c r="M1715">
        <v>293160</v>
      </c>
      <c r="N1715" t="s">
        <v>16</v>
      </c>
    </row>
    <row r="1716" spans="5:14" x14ac:dyDescent="0.35">
      <c r="E1716" t="s">
        <v>61</v>
      </c>
      <c r="F1716" t="s">
        <v>46</v>
      </c>
      <c r="G1716" t="s">
        <v>42</v>
      </c>
      <c r="H1716" t="s">
        <v>13</v>
      </c>
      <c r="I1716" t="s">
        <v>14</v>
      </c>
      <c r="J1716" t="s">
        <v>19</v>
      </c>
      <c r="K1716">
        <v>16814</v>
      </c>
      <c r="L1716">
        <v>30</v>
      </c>
      <c r="M1716">
        <v>504420</v>
      </c>
      <c r="N1716" t="s">
        <v>16</v>
      </c>
    </row>
    <row r="1717" spans="5:14" x14ac:dyDescent="0.35">
      <c r="E1717" t="s">
        <v>61</v>
      </c>
      <c r="F1717" t="s">
        <v>46</v>
      </c>
      <c r="G1717" t="s">
        <v>42</v>
      </c>
      <c r="H1717" t="s">
        <v>13</v>
      </c>
      <c r="I1717" t="s">
        <v>14</v>
      </c>
      <c r="J1717" t="s">
        <v>20</v>
      </c>
      <c r="K1717">
        <v>14324</v>
      </c>
      <c r="L1717">
        <v>15</v>
      </c>
      <c r="M1717">
        <v>214860</v>
      </c>
      <c r="N1717" t="s">
        <v>21</v>
      </c>
    </row>
    <row r="1718" spans="5:14" x14ac:dyDescent="0.35">
      <c r="E1718" t="s">
        <v>61</v>
      </c>
      <c r="F1718" t="s">
        <v>46</v>
      </c>
      <c r="G1718" t="s">
        <v>42</v>
      </c>
      <c r="H1718" t="s">
        <v>22</v>
      </c>
      <c r="I1718" t="s">
        <v>23</v>
      </c>
      <c r="J1718" t="s">
        <v>24</v>
      </c>
      <c r="K1718">
        <v>7149</v>
      </c>
      <c r="L1718">
        <v>2</v>
      </c>
      <c r="M1718">
        <v>14298</v>
      </c>
      <c r="N1718" t="s">
        <v>21</v>
      </c>
    </row>
    <row r="1719" spans="5:14" x14ac:dyDescent="0.35">
      <c r="E1719" t="s">
        <v>61</v>
      </c>
      <c r="F1719" t="s">
        <v>46</v>
      </c>
      <c r="G1719" t="s">
        <v>42</v>
      </c>
      <c r="H1719" t="s">
        <v>22</v>
      </c>
      <c r="I1719" t="s">
        <v>23</v>
      </c>
      <c r="J1719" t="s">
        <v>25</v>
      </c>
      <c r="K1719">
        <v>16498</v>
      </c>
      <c r="L1719">
        <v>2</v>
      </c>
      <c r="M1719">
        <v>32996</v>
      </c>
      <c r="N1719" t="s">
        <v>21</v>
      </c>
    </row>
    <row r="1720" spans="5:14" x14ac:dyDescent="0.35">
      <c r="E1720" t="s">
        <v>61</v>
      </c>
      <c r="F1720" t="s">
        <v>46</v>
      </c>
      <c r="G1720" t="s">
        <v>42</v>
      </c>
      <c r="H1720" t="s">
        <v>22</v>
      </c>
      <c r="I1720" t="s">
        <v>23</v>
      </c>
      <c r="J1720" t="s">
        <v>26</v>
      </c>
      <c r="K1720">
        <v>17134</v>
      </c>
      <c r="L1720">
        <v>5</v>
      </c>
      <c r="M1720">
        <v>85670</v>
      </c>
      <c r="N1720" t="s">
        <v>21</v>
      </c>
    </row>
    <row r="1721" spans="5:14" x14ac:dyDescent="0.35">
      <c r="E1721" t="s">
        <v>61</v>
      </c>
      <c r="F1721" t="s">
        <v>46</v>
      </c>
      <c r="G1721" t="s">
        <v>42</v>
      </c>
      <c r="H1721" t="s">
        <v>22</v>
      </c>
      <c r="I1721" t="s">
        <v>27</v>
      </c>
      <c r="J1721" t="s">
        <v>28</v>
      </c>
      <c r="K1721">
        <v>7253</v>
      </c>
      <c r="L1721">
        <v>3</v>
      </c>
      <c r="M1721">
        <v>21759</v>
      </c>
      <c r="N1721" t="s">
        <v>16</v>
      </c>
    </row>
    <row r="1722" spans="5:14" x14ac:dyDescent="0.35">
      <c r="E1722" t="s">
        <v>61</v>
      </c>
      <c r="F1722" t="s">
        <v>47</v>
      </c>
      <c r="G1722" t="s">
        <v>48</v>
      </c>
      <c r="H1722" t="s">
        <v>13</v>
      </c>
      <c r="I1722" t="s">
        <v>14</v>
      </c>
      <c r="J1722" t="s">
        <v>15</v>
      </c>
      <c r="K1722">
        <v>17362</v>
      </c>
      <c r="L1722">
        <v>10</v>
      </c>
      <c r="M1722">
        <v>173620</v>
      </c>
      <c r="N1722" t="s">
        <v>18</v>
      </c>
    </row>
    <row r="1723" spans="5:14" x14ac:dyDescent="0.35">
      <c r="E1723" t="s">
        <v>61</v>
      </c>
      <c r="F1723" t="s">
        <v>47</v>
      </c>
      <c r="G1723" t="s">
        <v>48</v>
      </c>
      <c r="H1723" t="s">
        <v>13</v>
      </c>
      <c r="I1723" t="s">
        <v>14</v>
      </c>
      <c r="J1723" t="s">
        <v>17</v>
      </c>
      <c r="K1723">
        <v>16504</v>
      </c>
      <c r="L1723">
        <v>20</v>
      </c>
      <c r="M1723">
        <v>330080</v>
      </c>
      <c r="N1723" t="s">
        <v>16</v>
      </c>
    </row>
    <row r="1724" spans="5:14" x14ac:dyDescent="0.35">
      <c r="E1724" t="s">
        <v>61</v>
      </c>
      <c r="F1724" t="s">
        <v>47</v>
      </c>
      <c r="G1724" t="s">
        <v>48</v>
      </c>
      <c r="H1724" t="s">
        <v>13</v>
      </c>
      <c r="I1724" t="s">
        <v>14</v>
      </c>
      <c r="J1724" t="s">
        <v>19</v>
      </c>
      <c r="K1724">
        <v>19552</v>
      </c>
      <c r="L1724">
        <v>30</v>
      </c>
      <c r="M1724">
        <v>586560</v>
      </c>
      <c r="N1724" t="s">
        <v>16</v>
      </c>
    </row>
    <row r="1725" spans="5:14" x14ac:dyDescent="0.35">
      <c r="E1725" t="s">
        <v>61</v>
      </c>
      <c r="F1725" t="s">
        <v>47</v>
      </c>
      <c r="G1725" t="s">
        <v>48</v>
      </c>
      <c r="H1725" t="s">
        <v>13</v>
      </c>
      <c r="I1725" t="s">
        <v>14</v>
      </c>
      <c r="J1725" t="s">
        <v>20</v>
      </c>
      <c r="K1725">
        <v>12179</v>
      </c>
      <c r="L1725">
        <v>15</v>
      </c>
      <c r="M1725">
        <v>182685</v>
      </c>
      <c r="N1725" t="s">
        <v>21</v>
      </c>
    </row>
    <row r="1726" spans="5:14" x14ac:dyDescent="0.35">
      <c r="E1726" t="s">
        <v>61</v>
      </c>
      <c r="F1726" t="s">
        <v>47</v>
      </c>
      <c r="G1726" t="s">
        <v>48</v>
      </c>
      <c r="H1726" t="s">
        <v>22</v>
      </c>
      <c r="I1726" t="s">
        <v>23</v>
      </c>
      <c r="J1726" t="s">
        <v>24</v>
      </c>
      <c r="K1726">
        <v>16187</v>
      </c>
      <c r="L1726">
        <v>2</v>
      </c>
      <c r="M1726">
        <v>32374</v>
      </c>
      <c r="N1726" t="s">
        <v>16</v>
      </c>
    </row>
    <row r="1727" spans="5:14" x14ac:dyDescent="0.35">
      <c r="E1727" t="s">
        <v>61</v>
      </c>
      <c r="F1727" t="s">
        <v>47</v>
      </c>
      <c r="G1727" t="s">
        <v>48</v>
      </c>
      <c r="H1727" t="s">
        <v>22</v>
      </c>
      <c r="I1727" t="s">
        <v>23</v>
      </c>
      <c r="J1727" t="s">
        <v>25</v>
      </c>
      <c r="K1727">
        <v>9221</v>
      </c>
      <c r="L1727">
        <v>2</v>
      </c>
      <c r="M1727">
        <v>18442</v>
      </c>
      <c r="N1727" t="s">
        <v>16</v>
      </c>
    </row>
    <row r="1728" spans="5:14" x14ac:dyDescent="0.35">
      <c r="E1728" t="s">
        <v>61</v>
      </c>
      <c r="F1728" t="s">
        <v>47</v>
      </c>
      <c r="G1728" t="s">
        <v>48</v>
      </c>
      <c r="H1728" t="s">
        <v>22</v>
      </c>
      <c r="I1728" t="s">
        <v>23</v>
      </c>
      <c r="J1728" t="s">
        <v>26</v>
      </c>
      <c r="K1728">
        <v>18558</v>
      </c>
      <c r="L1728">
        <v>5</v>
      </c>
      <c r="M1728">
        <v>92790</v>
      </c>
      <c r="N1728" t="s">
        <v>16</v>
      </c>
    </row>
    <row r="1729" spans="5:14" x14ac:dyDescent="0.35">
      <c r="E1729" t="s">
        <v>61</v>
      </c>
      <c r="F1729" t="s">
        <v>47</v>
      </c>
      <c r="G1729" t="s">
        <v>48</v>
      </c>
      <c r="H1729" t="s">
        <v>22</v>
      </c>
      <c r="I1729" t="s">
        <v>27</v>
      </c>
      <c r="J1729" t="s">
        <v>28</v>
      </c>
      <c r="K1729">
        <v>14854</v>
      </c>
      <c r="L1729">
        <v>3</v>
      </c>
      <c r="M1729">
        <v>44562</v>
      </c>
      <c r="N1729" t="s">
        <v>18</v>
      </c>
    </row>
    <row r="1730" spans="5:14" x14ac:dyDescent="0.35">
      <c r="E1730" t="s">
        <v>61</v>
      </c>
      <c r="F1730" t="s">
        <v>49</v>
      </c>
      <c r="G1730" t="s">
        <v>48</v>
      </c>
      <c r="H1730" t="s">
        <v>13</v>
      </c>
      <c r="I1730" t="s">
        <v>14</v>
      </c>
      <c r="J1730" t="s">
        <v>15</v>
      </c>
      <c r="K1730">
        <v>8862</v>
      </c>
      <c r="L1730">
        <v>10</v>
      </c>
      <c r="M1730">
        <v>88620</v>
      </c>
      <c r="N1730" t="s">
        <v>16</v>
      </c>
    </row>
    <row r="1731" spans="5:14" x14ac:dyDescent="0.35">
      <c r="E1731" t="s">
        <v>61</v>
      </c>
      <c r="F1731" t="s">
        <v>49</v>
      </c>
      <c r="G1731" t="s">
        <v>48</v>
      </c>
      <c r="H1731" t="s">
        <v>13</v>
      </c>
      <c r="I1731" t="s">
        <v>14</v>
      </c>
      <c r="J1731" t="s">
        <v>17</v>
      </c>
      <c r="K1731">
        <v>7075</v>
      </c>
      <c r="L1731">
        <v>20</v>
      </c>
      <c r="M1731">
        <v>141500</v>
      </c>
      <c r="N1731" t="s">
        <v>16</v>
      </c>
    </row>
    <row r="1732" spans="5:14" x14ac:dyDescent="0.35">
      <c r="E1732" t="s">
        <v>61</v>
      </c>
      <c r="F1732" t="s">
        <v>49</v>
      </c>
      <c r="G1732" t="s">
        <v>48</v>
      </c>
      <c r="H1732" t="s">
        <v>13</v>
      </c>
      <c r="I1732" t="s">
        <v>14</v>
      </c>
      <c r="J1732" t="s">
        <v>19</v>
      </c>
      <c r="K1732">
        <v>10622</v>
      </c>
      <c r="L1732">
        <v>30</v>
      </c>
      <c r="M1732">
        <v>318660</v>
      </c>
      <c r="N1732" t="s">
        <v>16</v>
      </c>
    </row>
    <row r="1733" spans="5:14" x14ac:dyDescent="0.35">
      <c r="E1733" t="s">
        <v>61</v>
      </c>
      <c r="F1733" t="s">
        <v>49</v>
      </c>
      <c r="G1733" t="s">
        <v>48</v>
      </c>
      <c r="H1733" t="s">
        <v>13</v>
      </c>
      <c r="I1733" t="s">
        <v>14</v>
      </c>
      <c r="J1733" t="s">
        <v>20</v>
      </c>
      <c r="K1733">
        <v>11657</v>
      </c>
      <c r="L1733">
        <v>15</v>
      </c>
      <c r="M1733">
        <v>174855</v>
      </c>
      <c r="N1733" t="s">
        <v>16</v>
      </c>
    </row>
    <row r="1734" spans="5:14" x14ac:dyDescent="0.35">
      <c r="E1734" t="s">
        <v>61</v>
      </c>
      <c r="F1734" t="s">
        <v>49</v>
      </c>
      <c r="G1734" t="s">
        <v>48</v>
      </c>
      <c r="H1734" t="s">
        <v>22</v>
      </c>
      <c r="I1734" t="s">
        <v>23</v>
      </c>
      <c r="J1734" t="s">
        <v>24</v>
      </c>
      <c r="K1734">
        <v>12693</v>
      </c>
      <c r="L1734">
        <v>2</v>
      </c>
      <c r="M1734">
        <v>25386</v>
      </c>
      <c r="N1734" t="s">
        <v>18</v>
      </c>
    </row>
    <row r="1735" spans="5:14" x14ac:dyDescent="0.35">
      <c r="E1735" t="s">
        <v>61</v>
      </c>
      <c r="F1735" t="s">
        <v>49</v>
      </c>
      <c r="G1735" t="s">
        <v>48</v>
      </c>
      <c r="H1735" t="s">
        <v>22</v>
      </c>
      <c r="I1735" t="s">
        <v>23</v>
      </c>
      <c r="J1735" t="s">
        <v>25</v>
      </c>
      <c r="K1735">
        <v>11821</v>
      </c>
      <c r="L1735">
        <v>2</v>
      </c>
      <c r="M1735">
        <v>23642</v>
      </c>
      <c r="N1735" t="s">
        <v>16</v>
      </c>
    </row>
    <row r="1736" spans="5:14" x14ac:dyDescent="0.35">
      <c r="E1736" t="s">
        <v>61</v>
      </c>
      <c r="F1736" t="s">
        <v>49</v>
      </c>
      <c r="G1736" t="s">
        <v>48</v>
      </c>
      <c r="H1736" t="s">
        <v>22</v>
      </c>
      <c r="I1736" t="s">
        <v>23</v>
      </c>
      <c r="J1736" t="s">
        <v>26</v>
      </c>
      <c r="K1736">
        <v>19787</v>
      </c>
      <c r="L1736">
        <v>5</v>
      </c>
      <c r="M1736">
        <v>98935</v>
      </c>
      <c r="N1736" t="s">
        <v>21</v>
      </c>
    </row>
    <row r="1737" spans="5:14" x14ac:dyDescent="0.35">
      <c r="E1737" t="s">
        <v>61</v>
      </c>
      <c r="F1737" t="s">
        <v>49</v>
      </c>
      <c r="G1737" t="s">
        <v>48</v>
      </c>
      <c r="H1737" t="s">
        <v>22</v>
      </c>
      <c r="I1737" t="s">
        <v>27</v>
      </c>
      <c r="J1737" t="s">
        <v>28</v>
      </c>
      <c r="K1737">
        <v>12930</v>
      </c>
      <c r="L1737">
        <v>3</v>
      </c>
      <c r="M1737">
        <v>38790</v>
      </c>
      <c r="N1737" t="s">
        <v>21</v>
      </c>
    </row>
    <row r="1738" spans="5:14" x14ac:dyDescent="0.35">
      <c r="E1738" t="s">
        <v>61</v>
      </c>
      <c r="F1738" t="s">
        <v>50</v>
      </c>
      <c r="G1738" t="s">
        <v>48</v>
      </c>
      <c r="H1738" t="s">
        <v>13</v>
      </c>
      <c r="I1738" t="s">
        <v>14</v>
      </c>
      <c r="J1738" t="s">
        <v>15</v>
      </c>
      <c r="K1738">
        <v>19593</v>
      </c>
      <c r="L1738">
        <v>10</v>
      </c>
      <c r="M1738">
        <v>195930</v>
      </c>
      <c r="N1738" t="s">
        <v>18</v>
      </c>
    </row>
    <row r="1739" spans="5:14" x14ac:dyDescent="0.35">
      <c r="E1739" t="s">
        <v>61</v>
      </c>
      <c r="F1739" t="s">
        <v>50</v>
      </c>
      <c r="G1739" t="s">
        <v>48</v>
      </c>
      <c r="H1739" t="s">
        <v>13</v>
      </c>
      <c r="I1739" t="s">
        <v>14</v>
      </c>
      <c r="J1739" t="s">
        <v>17</v>
      </c>
      <c r="K1739">
        <v>12294</v>
      </c>
      <c r="L1739">
        <v>20</v>
      </c>
      <c r="M1739">
        <v>245880</v>
      </c>
      <c r="N1739" t="s">
        <v>21</v>
      </c>
    </row>
    <row r="1740" spans="5:14" x14ac:dyDescent="0.35">
      <c r="E1740" t="s">
        <v>61</v>
      </c>
      <c r="F1740" t="s">
        <v>50</v>
      </c>
      <c r="G1740" t="s">
        <v>48</v>
      </c>
      <c r="H1740" t="s">
        <v>13</v>
      </c>
      <c r="I1740" t="s">
        <v>14</v>
      </c>
      <c r="J1740" t="s">
        <v>19</v>
      </c>
      <c r="K1740">
        <v>14088</v>
      </c>
      <c r="L1740">
        <v>30</v>
      </c>
      <c r="M1740">
        <v>422640</v>
      </c>
      <c r="N1740" t="s">
        <v>21</v>
      </c>
    </row>
    <row r="1741" spans="5:14" x14ac:dyDescent="0.35">
      <c r="E1741" t="s">
        <v>61</v>
      </c>
      <c r="F1741" t="s">
        <v>50</v>
      </c>
      <c r="G1741" t="s">
        <v>48</v>
      </c>
      <c r="H1741" t="s">
        <v>13</v>
      </c>
      <c r="I1741" t="s">
        <v>14</v>
      </c>
      <c r="J1741" t="s">
        <v>20</v>
      </c>
      <c r="K1741">
        <v>11238</v>
      </c>
      <c r="L1741">
        <v>15</v>
      </c>
      <c r="M1741">
        <v>168570</v>
      </c>
      <c r="N1741" t="s">
        <v>18</v>
      </c>
    </row>
    <row r="1742" spans="5:14" x14ac:dyDescent="0.35">
      <c r="E1742" t="s">
        <v>61</v>
      </c>
      <c r="F1742" t="s">
        <v>50</v>
      </c>
      <c r="G1742" t="s">
        <v>48</v>
      </c>
      <c r="H1742" t="s">
        <v>22</v>
      </c>
      <c r="I1742" t="s">
        <v>23</v>
      </c>
      <c r="J1742" t="s">
        <v>24</v>
      </c>
      <c r="K1742">
        <v>16036</v>
      </c>
      <c r="L1742">
        <v>2</v>
      </c>
      <c r="M1742">
        <v>32072</v>
      </c>
      <c r="N1742" t="s">
        <v>18</v>
      </c>
    </row>
    <row r="1743" spans="5:14" x14ac:dyDescent="0.35">
      <c r="E1743" t="s">
        <v>61</v>
      </c>
      <c r="F1743" t="s">
        <v>50</v>
      </c>
      <c r="G1743" t="s">
        <v>48</v>
      </c>
      <c r="H1743" t="s">
        <v>22</v>
      </c>
      <c r="I1743" t="s">
        <v>23</v>
      </c>
      <c r="J1743" t="s">
        <v>25</v>
      </c>
      <c r="K1743">
        <v>15105</v>
      </c>
      <c r="L1743">
        <v>2</v>
      </c>
      <c r="M1743">
        <v>30210</v>
      </c>
      <c r="N1743" t="s">
        <v>16</v>
      </c>
    </row>
    <row r="1744" spans="5:14" x14ac:dyDescent="0.35">
      <c r="E1744" t="s">
        <v>61</v>
      </c>
      <c r="F1744" t="s">
        <v>50</v>
      </c>
      <c r="G1744" t="s">
        <v>48</v>
      </c>
      <c r="H1744" t="s">
        <v>22</v>
      </c>
      <c r="I1744" t="s">
        <v>23</v>
      </c>
      <c r="J1744" t="s">
        <v>26</v>
      </c>
      <c r="K1744">
        <v>10076</v>
      </c>
      <c r="L1744">
        <v>5</v>
      </c>
      <c r="M1744">
        <v>50380</v>
      </c>
      <c r="N1744" t="s">
        <v>21</v>
      </c>
    </row>
    <row r="1745" spans="5:14" x14ac:dyDescent="0.35">
      <c r="E1745" t="s">
        <v>61</v>
      </c>
      <c r="F1745" t="s">
        <v>50</v>
      </c>
      <c r="G1745" t="s">
        <v>48</v>
      </c>
      <c r="H1745" t="s">
        <v>22</v>
      </c>
      <c r="I1745" t="s">
        <v>27</v>
      </c>
      <c r="J1745" t="s">
        <v>28</v>
      </c>
      <c r="K1745">
        <v>10343</v>
      </c>
      <c r="L1745">
        <v>3</v>
      </c>
      <c r="M1745">
        <v>31029</v>
      </c>
      <c r="N1745" t="s">
        <v>21</v>
      </c>
    </row>
    <row r="1746" spans="5:14" x14ac:dyDescent="0.35">
      <c r="E1746" t="s">
        <v>61</v>
      </c>
      <c r="F1746" t="s">
        <v>51</v>
      </c>
      <c r="G1746" t="s">
        <v>48</v>
      </c>
      <c r="H1746" t="s">
        <v>13</v>
      </c>
      <c r="I1746" t="s">
        <v>14</v>
      </c>
      <c r="J1746" t="s">
        <v>15</v>
      </c>
      <c r="K1746">
        <v>22659</v>
      </c>
      <c r="L1746">
        <v>10</v>
      </c>
      <c r="M1746">
        <v>226590</v>
      </c>
      <c r="N1746" t="s">
        <v>21</v>
      </c>
    </row>
    <row r="1747" spans="5:14" x14ac:dyDescent="0.35">
      <c r="E1747" t="s">
        <v>61</v>
      </c>
      <c r="F1747" t="s">
        <v>51</v>
      </c>
      <c r="G1747" t="s">
        <v>48</v>
      </c>
      <c r="H1747" t="s">
        <v>13</v>
      </c>
      <c r="I1747" t="s">
        <v>14</v>
      </c>
      <c r="J1747" t="s">
        <v>17</v>
      </c>
      <c r="K1747">
        <v>16366</v>
      </c>
      <c r="L1747">
        <v>20</v>
      </c>
      <c r="M1747">
        <v>327320</v>
      </c>
      <c r="N1747" t="s">
        <v>21</v>
      </c>
    </row>
    <row r="1748" spans="5:14" x14ac:dyDescent="0.35">
      <c r="E1748" t="s">
        <v>61</v>
      </c>
      <c r="F1748" t="s">
        <v>51</v>
      </c>
      <c r="G1748" t="s">
        <v>48</v>
      </c>
      <c r="H1748" t="s">
        <v>13</v>
      </c>
      <c r="I1748" t="s">
        <v>14</v>
      </c>
      <c r="J1748" t="s">
        <v>19</v>
      </c>
      <c r="K1748">
        <v>10229</v>
      </c>
      <c r="L1748">
        <v>30</v>
      </c>
      <c r="M1748">
        <v>306870</v>
      </c>
      <c r="N1748" t="s">
        <v>16</v>
      </c>
    </row>
    <row r="1749" spans="5:14" x14ac:dyDescent="0.35">
      <c r="E1749" t="s">
        <v>61</v>
      </c>
      <c r="F1749" t="s">
        <v>51</v>
      </c>
      <c r="G1749" t="s">
        <v>48</v>
      </c>
      <c r="H1749" t="s">
        <v>13</v>
      </c>
      <c r="I1749" t="s">
        <v>14</v>
      </c>
      <c r="J1749" t="s">
        <v>20</v>
      </c>
      <c r="K1749">
        <v>16617</v>
      </c>
      <c r="L1749">
        <v>15</v>
      </c>
      <c r="M1749">
        <v>249255</v>
      </c>
      <c r="N1749" t="s">
        <v>21</v>
      </c>
    </row>
    <row r="1750" spans="5:14" x14ac:dyDescent="0.35">
      <c r="E1750" t="s">
        <v>61</v>
      </c>
      <c r="F1750" t="s">
        <v>51</v>
      </c>
      <c r="G1750" t="s">
        <v>48</v>
      </c>
      <c r="H1750" t="s">
        <v>22</v>
      </c>
      <c r="I1750" t="s">
        <v>23</v>
      </c>
      <c r="J1750" t="s">
        <v>24</v>
      </c>
      <c r="K1750">
        <v>12728</v>
      </c>
      <c r="L1750">
        <v>2</v>
      </c>
      <c r="M1750">
        <v>25456</v>
      </c>
      <c r="N1750" t="s">
        <v>18</v>
      </c>
    </row>
    <row r="1751" spans="5:14" x14ac:dyDescent="0.35">
      <c r="E1751" t="s">
        <v>61</v>
      </c>
      <c r="F1751" t="s">
        <v>51</v>
      </c>
      <c r="G1751" t="s">
        <v>48</v>
      </c>
      <c r="H1751" t="s">
        <v>22</v>
      </c>
      <c r="I1751" t="s">
        <v>23</v>
      </c>
      <c r="J1751" t="s">
        <v>25</v>
      </c>
      <c r="K1751">
        <v>21505</v>
      </c>
      <c r="L1751">
        <v>2</v>
      </c>
      <c r="M1751">
        <v>43010</v>
      </c>
      <c r="N1751" t="s">
        <v>18</v>
      </c>
    </row>
    <row r="1752" spans="5:14" x14ac:dyDescent="0.35">
      <c r="E1752" t="s">
        <v>61</v>
      </c>
      <c r="F1752" t="s">
        <v>51</v>
      </c>
      <c r="G1752" t="s">
        <v>48</v>
      </c>
      <c r="H1752" t="s">
        <v>22</v>
      </c>
      <c r="I1752" t="s">
        <v>23</v>
      </c>
      <c r="J1752" t="s">
        <v>26</v>
      </c>
      <c r="K1752">
        <v>9707</v>
      </c>
      <c r="L1752">
        <v>5</v>
      </c>
      <c r="M1752">
        <v>48535</v>
      </c>
      <c r="N1752" t="s">
        <v>18</v>
      </c>
    </row>
    <row r="1753" spans="5:14" x14ac:dyDescent="0.35">
      <c r="E1753" t="s">
        <v>61</v>
      </c>
      <c r="F1753" t="s">
        <v>51</v>
      </c>
      <c r="G1753" t="s">
        <v>48</v>
      </c>
      <c r="H1753" t="s">
        <v>22</v>
      </c>
      <c r="I1753" t="s">
        <v>27</v>
      </c>
      <c r="J1753" t="s">
        <v>28</v>
      </c>
      <c r="K1753">
        <v>14792</v>
      </c>
      <c r="L1753">
        <v>3</v>
      </c>
      <c r="M1753">
        <v>44376</v>
      </c>
      <c r="N1753" t="s">
        <v>16</v>
      </c>
    </row>
    <row r="1754" spans="5:14" x14ac:dyDescent="0.35">
      <c r="E1754" t="s">
        <v>61</v>
      </c>
      <c r="F1754" t="s">
        <v>52</v>
      </c>
      <c r="G1754" t="s">
        <v>48</v>
      </c>
      <c r="H1754" t="s">
        <v>13</v>
      </c>
      <c r="I1754" t="s">
        <v>14</v>
      </c>
      <c r="J1754" t="s">
        <v>15</v>
      </c>
      <c r="K1754">
        <v>10063</v>
      </c>
      <c r="L1754">
        <v>10</v>
      </c>
      <c r="M1754">
        <v>100630</v>
      </c>
      <c r="N1754" t="s">
        <v>21</v>
      </c>
    </row>
    <row r="1755" spans="5:14" x14ac:dyDescent="0.35">
      <c r="E1755" t="s">
        <v>61</v>
      </c>
      <c r="F1755" t="s">
        <v>52</v>
      </c>
      <c r="G1755" t="s">
        <v>48</v>
      </c>
      <c r="H1755" t="s">
        <v>13</v>
      </c>
      <c r="I1755" t="s">
        <v>14</v>
      </c>
      <c r="J1755" t="s">
        <v>17</v>
      </c>
      <c r="K1755">
        <v>11949</v>
      </c>
      <c r="L1755">
        <v>20</v>
      </c>
      <c r="M1755">
        <v>238980</v>
      </c>
      <c r="N1755" t="s">
        <v>21</v>
      </c>
    </row>
    <row r="1756" spans="5:14" x14ac:dyDescent="0.35">
      <c r="E1756" t="s">
        <v>61</v>
      </c>
      <c r="F1756" t="s">
        <v>52</v>
      </c>
      <c r="G1756" t="s">
        <v>48</v>
      </c>
      <c r="H1756" t="s">
        <v>13</v>
      </c>
      <c r="I1756" t="s">
        <v>14</v>
      </c>
      <c r="J1756" t="s">
        <v>19</v>
      </c>
      <c r="K1756">
        <v>8625</v>
      </c>
      <c r="L1756">
        <v>30</v>
      </c>
      <c r="M1756">
        <v>258750</v>
      </c>
      <c r="N1756" t="s">
        <v>18</v>
      </c>
    </row>
    <row r="1757" spans="5:14" x14ac:dyDescent="0.35">
      <c r="E1757" t="s">
        <v>61</v>
      </c>
      <c r="F1757" t="s">
        <v>52</v>
      </c>
      <c r="G1757" t="s">
        <v>48</v>
      </c>
      <c r="H1757" t="s">
        <v>13</v>
      </c>
      <c r="I1757" t="s">
        <v>14</v>
      </c>
      <c r="J1757" t="s">
        <v>20</v>
      </c>
      <c r="K1757">
        <v>13054</v>
      </c>
      <c r="L1757">
        <v>15</v>
      </c>
      <c r="M1757">
        <v>195810</v>
      </c>
      <c r="N1757" t="s">
        <v>18</v>
      </c>
    </row>
    <row r="1758" spans="5:14" x14ac:dyDescent="0.35">
      <c r="E1758" t="s">
        <v>61</v>
      </c>
      <c r="F1758" t="s">
        <v>52</v>
      </c>
      <c r="G1758" t="s">
        <v>48</v>
      </c>
      <c r="H1758" t="s">
        <v>22</v>
      </c>
      <c r="I1758" t="s">
        <v>23</v>
      </c>
      <c r="J1758" t="s">
        <v>24</v>
      </c>
      <c r="K1758">
        <v>9300</v>
      </c>
      <c r="L1758">
        <v>2</v>
      </c>
      <c r="M1758">
        <v>18600</v>
      </c>
      <c r="N1758" t="s">
        <v>21</v>
      </c>
    </row>
    <row r="1759" spans="5:14" x14ac:dyDescent="0.35">
      <c r="E1759" t="s">
        <v>61</v>
      </c>
      <c r="F1759" t="s">
        <v>52</v>
      </c>
      <c r="G1759" t="s">
        <v>48</v>
      </c>
      <c r="H1759" t="s">
        <v>22</v>
      </c>
      <c r="I1759" t="s">
        <v>23</v>
      </c>
      <c r="J1759" t="s">
        <v>25</v>
      </c>
      <c r="K1759">
        <v>17714</v>
      </c>
      <c r="L1759">
        <v>2</v>
      </c>
      <c r="M1759">
        <v>35428</v>
      </c>
      <c r="N1759" t="s">
        <v>18</v>
      </c>
    </row>
    <row r="1760" spans="5:14" x14ac:dyDescent="0.35">
      <c r="E1760" t="s">
        <v>61</v>
      </c>
      <c r="F1760" t="s">
        <v>52</v>
      </c>
      <c r="G1760" t="s">
        <v>48</v>
      </c>
      <c r="H1760" t="s">
        <v>22</v>
      </c>
      <c r="I1760" t="s">
        <v>23</v>
      </c>
      <c r="J1760" t="s">
        <v>26</v>
      </c>
      <c r="K1760">
        <v>12606</v>
      </c>
      <c r="L1760">
        <v>5</v>
      </c>
      <c r="M1760">
        <v>63030</v>
      </c>
      <c r="N1760" t="s">
        <v>16</v>
      </c>
    </row>
    <row r="1761" spans="5:14" x14ac:dyDescent="0.35">
      <c r="E1761" t="s">
        <v>61</v>
      </c>
      <c r="F1761" t="s">
        <v>52</v>
      </c>
      <c r="G1761" t="s">
        <v>48</v>
      </c>
      <c r="H1761" t="s">
        <v>22</v>
      </c>
      <c r="I1761" t="s">
        <v>27</v>
      </c>
      <c r="J1761" t="s">
        <v>28</v>
      </c>
      <c r="K1761">
        <v>9432</v>
      </c>
      <c r="L1761">
        <v>3</v>
      </c>
      <c r="M1761">
        <v>28296</v>
      </c>
      <c r="N1761" t="s">
        <v>21</v>
      </c>
    </row>
    <row r="1762" spans="5:14" x14ac:dyDescent="0.35">
      <c r="E1762" t="s">
        <v>62</v>
      </c>
      <c r="F1762" t="s">
        <v>11</v>
      </c>
      <c r="G1762" t="s">
        <v>12</v>
      </c>
      <c r="H1762" t="s">
        <v>13</v>
      </c>
      <c r="I1762" t="s">
        <v>14</v>
      </c>
      <c r="J1762" t="s">
        <v>15</v>
      </c>
      <c r="K1762">
        <v>10367</v>
      </c>
      <c r="L1762">
        <v>10</v>
      </c>
      <c r="M1762">
        <v>103670</v>
      </c>
      <c r="N1762" t="s">
        <v>18</v>
      </c>
    </row>
    <row r="1763" spans="5:14" x14ac:dyDescent="0.35">
      <c r="E1763" t="s">
        <v>62</v>
      </c>
      <c r="F1763" t="s">
        <v>11</v>
      </c>
      <c r="G1763" t="s">
        <v>12</v>
      </c>
      <c r="H1763" t="s">
        <v>13</v>
      </c>
      <c r="I1763" t="s">
        <v>14</v>
      </c>
      <c r="J1763" t="s">
        <v>17</v>
      </c>
      <c r="K1763">
        <v>14020</v>
      </c>
      <c r="L1763">
        <v>20</v>
      </c>
      <c r="M1763">
        <v>280400</v>
      </c>
      <c r="N1763" t="s">
        <v>18</v>
      </c>
    </row>
    <row r="1764" spans="5:14" x14ac:dyDescent="0.35">
      <c r="E1764" t="s">
        <v>62</v>
      </c>
      <c r="F1764" t="s">
        <v>11</v>
      </c>
      <c r="G1764" t="s">
        <v>12</v>
      </c>
      <c r="H1764" t="s">
        <v>13</v>
      </c>
      <c r="I1764" t="s">
        <v>14</v>
      </c>
      <c r="J1764" t="s">
        <v>19</v>
      </c>
      <c r="K1764">
        <v>10162</v>
      </c>
      <c r="L1764">
        <v>30</v>
      </c>
      <c r="M1764">
        <v>304860</v>
      </c>
      <c r="N1764" t="s">
        <v>16</v>
      </c>
    </row>
    <row r="1765" spans="5:14" x14ac:dyDescent="0.35">
      <c r="E1765" t="s">
        <v>62</v>
      </c>
      <c r="F1765" t="s">
        <v>11</v>
      </c>
      <c r="G1765" t="s">
        <v>12</v>
      </c>
      <c r="H1765" t="s">
        <v>13</v>
      </c>
      <c r="I1765" t="s">
        <v>14</v>
      </c>
      <c r="J1765" t="s">
        <v>20</v>
      </c>
      <c r="K1765">
        <v>18461</v>
      </c>
      <c r="L1765">
        <v>15</v>
      </c>
      <c r="M1765">
        <v>276915</v>
      </c>
      <c r="N1765" t="s">
        <v>16</v>
      </c>
    </row>
    <row r="1766" spans="5:14" x14ac:dyDescent="0.35">
      <c r="E1766" t="s">
        <v>62</v>
      </c>
      <c r="F1766" t="s">
        <v>11</v>
      </c>
      <c r="G1766" t="s">
        <v>12</v>
      </c>
      <c r="H1766" t="s">
        <v>22</v>
      </c>
      <c r="I1766" t="s">
        <v>23</v>
      </c>
      <c r="J1766" t="s">
        <v>24</v>
      </c>
      <c r="K1766">
        <v>8287</v>
      </c>
      <c r="L1766">
        <v>2</v>
      </c>
      <c r="M1766">
        <v>16574</v>
      </c>
      <c r="N1766" t="s">
        <v>21</v>
      </c>
    </row>
    <row r="1767" spans="5:14" x14ac:dyDescent="0.35">
      <c r="E1767" t="s">
        <v>62</v>
      </c>
      <c r="F1767" t="s">
        <v>11</v>
      </c>
      <c r="G1767" t="s">
        <v>12</v>
      </c>
      <c r="H1767" t="s">
        <v>22</v>
      </c>
      <c r="I1767" t="s">
        <v>23</v>
      </c>
      <c r="J1767" t="s">
        <v>25</v>
      </c>
      <c r="K1767">
        <v>15993</v>
      </c>
      <c r="L1767">
        <v>2</v>
      </c>
      <c r="M1767">
        <v>31986</v>
      </c>
      <c r="N1767" t="s">
        <v>16</v>
      </c>
    </row>
    <row r="1768" spans="5:14" x14ac:dyDescent="0.35">
      <c r="E1768" t="s">
        <v>62</v>
      </c>
      <c r="F1768" t="s">
        <v>11</v>
      </c>
      <c r="G1768" t="s">
        <v>12</v>
      </c>
      <c r="H1768" t="s">
        <v>22</v>
      </c>
      <c r="I1768" t="s">
        <v>23</v>
      </c>
      <c r="J1768" t="s">
        <v>26</v>
      </c>
      <c r="K1768">
        <v>14610</v>
      </c>
      <c r="L1768">
        <v>5</v>
      </c>
      <c r="M1768">
        <v>73050</v>
      </c>
      <c r="N1768" t="s">
        <v>18</v>
      </c>
    </row>
    <row r="1769" spans="5:14" x14ac:dyDescent="0.35">
      <c r="E1769" t="s">
        <v>62</v>
      </c>
      <c r="F1769" t="s">
        <v>11</v>
      </c>
      <c r="G1769" t="s">
        <v>12</v>
      </c>
      <c r="H1769" t="s">
        <v>22</v>
      </c>
      <c r="I1769" t="s">
        <v>27</v>
      </c>
      <c r="J1769" t="s">
        <v>28</v>
      </c>
      <c r="K1769">
        <v>20333</v>
      </c>
      <c r="L1769">
        <v>3</v>
      </c>
      <c r="M1769">
        <v>60999</v>
      </c>
      <c r="N1769" t="s">
        <v>16</v>
      </c>
    </row>
    <row r="1770" spans="5:14" x14ac:dyDescent="0.35">
      <c r="E1770" t="s">
        <v>62</v>
      </c>
      <c r="F1770" t="s">
        <v>29</v>
      </c>
      <c r="G1770" t="s">
        <v>12</v>
      </c>
      <c r="H1770" t="s">
        <v>13</v>
      </c>
      <c r="I1770" t="s">
        <v>14</v>
      </c>
      <c r="J1770" t="s">
        <v>15</v>
      </c>
      <c r="K1770">
        <v>14386</v>
      </c>
      <c r="L1770">
        <v>10</v>
      </c>
      <c r="M1770">
        <v>143860</v>
      </c>
      <c r="N1770" t="s">
        <v>21</v>
      </c>
    </row>
    <row r="1771" spans="5:14" x14ac:dyDescent="0.35">
      <c r="E1771" t="s">
        <v>62</v>
      </c>
      <c r="F1771" t="s">
        <v>29</v>
      </c>
      <c r="G1771" t="s">
        <v>12</v>
      </c>
      <c r="H1771" t="s">
        <v>13</v>
      </c>
      <c r="I1771" t="s">
        <v>14</v>
      </c>
      <c r="J1771" t="s">
        <v>17</v>
      </c>
      <c r="K1771">
        <v>11354</v>
      </c>
      <c r="L1771">
        <v>20</v>
      </c>
      <c r="M1771">
        <v>227080</v>
      </c>
      <c r="N1771" t="s">
        <v>18</v>
      </c>
    </row>
    <row r="1772" spans="5:14" x14ac:dyDescent="0.35">
      <c r="E1772" t="s">
        <v>62</v>
      </c>
      <c r="F1772" t="s">
        <v>29</v>
      </c>
      <c r="G1772" t="s">
        <v>12</v>
      </c>
      <c r="H1772" t="s">
        <v>13</v>
      </c>
      <c r="I1772" t="s">
        <v>14</v>
      </c>
      <c r="J1772" t="s">
        <v>19</v>
      </c>
      <c r="K1772">
        <v>16802</v>
      </c>
      <c r="L1772">
        <v>30</v>
      </c>
      <c r="M1772">
        <v>504060</v>
      </c>
      <c r="N1772" t="s">
        <v>18</v>
      </c>
    </row>
    <row r="1773" spans="5:14" x14ac:dyDescent="0.35">
      <c r="E1773" t="s">
        <v>62</v>
      </c>
      <c r="F1773" t="s">
        <v>29</v>
      </c>
      <c r="G1773" t="s">
        <v>12</v>
      </c>
      <c r="H1773" t="s">
        <v>13</v>
      </c>
      <c r="I1773" t="s">
        <v>14</v>
      </c>
      <c r="J1773" t="s">
        <v>20</v>
      </c>
      <c r="K1773">
        <v>15574</v>
      </c>
      <c r="L1773">
        <v>15</v>
      </c>
      <c r="M1773">
        <v>233610</v>
      </c>
      <c r="N1773" t="s">
        <v>21</v>
      </c>
    </row>
    <row r="1774" spans="5:14" x14ac:dyDescent="0.35">
      <c r="E1774" t="s">
        <v>62</v>
      </c>
      <c r="F1774" t="s">
        <v>29</v>
      </c>
      <c r="G1774" t="s">
        <v>12</v>
      </c>
      <c r="H1774" t="s">
        <v>22</v>
      </c>
      <c r="I1774" t="s">
        <v>23</v>
      </c>
      <c r="J1774" t="s">
        <v>24</v>
      </c>
      <c r="K1774">
        <v>22670</v>
      </c>
      <c r="L1774">
        <v>2</v>
      </c>
      <c r="M1774">
        <v>45340</v>
      </c>
      <c r="N1774" t="s">
        <v>16</v>
      </c>
    </row>
    <row r="1775" spans="5:14" x14ac:dyDescent="0.35">
      <c r="E1775" t="s">
        <v>62</v>
      </c>
      <c r="F1775" t="s">
        <v>29</v>
      </c>
      <c r="G1775" t="s">
        <v>12</v>
      </c>
      <c r="H1775" t="s">
        <v>22</v>
      </c>
      <c r="I1775" t="s">
        <v>23</v>
      </c>
      <c r="J1775" t="s">
        <v>25</v>
      </c>
      <c r="K1775">
        <v>12537</v>
      </c>
      <c r="L1775">
        <v>2</v>
      </c>
      <c r="M1775">
        <v>25074</v>
      </c>
      <c r="N1775" t="s">
        <v>18</v>
      </c>
    </row>
    <row r="1776" spans="5:14" x14ac:dyDescent="0.35">
      <c r="E1776" t="s">
        <v>62</v>
      </c>
      <c r="F1776" t="s">
        <v>29</v>
      </c>
      <c r="G1776" t="s">
        <v>12</v>
      </c>
      <c r="H1776" t="s">
        <v>22</v>
      </c>
      <c r="I1776" t="s">
        <v>23</v>
      </c>
      <c r="J1776" t="s">
        <v>26</v>
      </c>
      <c r="K1776">
        <v>10400</v>
      </c>
      <c r="L1776">
        <v>5</v>
      </c>
      <c r="M1776">
        <v>52000</v>
      </c>
      <c r="N1776" t="s">
        <v>18</v>
      </c>
    </row>
    <row r="1777" spans="5:14" x14ac:dyDescent="0.35">
      <c r="E1777" t="s">
        <v>62</v>
      </c>
      <c r="F1777" t="s">
        <v>29</v>
      </c>
      <c r="G1777" t="s">
        <v>12</v>
      </c>
      <c r="H1777" t="s">
        <v>22</v>
      </c>
      <c r="I1777" t="s">
        <v>27</v>
      </c>
      <c r="J1777" t="s">
        <v>28</v>
      </c>
      <c r="K1777">
        <v>21383</v>
      </c>
      <c r="L1777">
        <v>3</v>
      </c>
      <c r="M1777">
        <v>64149</v>
      </c>
      <c r="N1777" t="s">
        <v>18</v>
      </c>
    </row>
    <row r="1778" spans="5:14" x14ac:dyDescent="0.35">
      <c r="E1778" t="s">
        <v>62</v>
      </c>
      <c r="F1778" t="s">
        <v>30</v>
      </c>
      <c r="G1778" t="s">
        <v>12</v>
      </c>
      <c r="H1778" t="s">
        <v>13</v>
      </c>
      <c r="I1778" t="s">
        <v>14</v>
      </c>
      <c r="J1778" t="s">
        <v>15</v>
      </c>
      <c r="K1778">
        <v>7877</v>
      </c>
      <c r="L1778">
        <v>10</v>
      </c>
      <c r="M1778">
        <v>78770</v>
      </c>
      <c r="N1778" t="s">
        <v>18</v>
      </c>
    </row>
    <row r="1779" spans="5:14" x14ac:dyDescent="0.35">
      <c r="E1779" t="s">
        <v>62</v>
      </c>
      <c r="F1779" t="s">
        <v>30</v>
      </c>
      <c r="G1779" t="s">
        <v>12</v>
      </c>
      <c r="H1779" t="s">
        <v>13</v>
      </c>
      <c r="I1779" t="s">
        <v>14</v>
      </c>
      <c r="J1779" t="s">
        <v>17</v>
      </c>
      <c r="K1779">
        <v>16108</v>
      </c>
      <c r="L1779">
        <v>20</v>
      </c>
      <c r="M1779">
        <v>322160</v>
      </c>
      <c r="N1779" t="s">
        <v>18</v>
      </c>
    </row>
    <row r="1780" spans="5:14" x14ac:dyDescent="0.35">
      <c r="E1780" t="s">
        <v>62</v>
      </c>
      <c r="F1780" t="s">
        <v>30</v>
      </c>
      <c r="G1780" t="s">
        <v>12</v>
      </c>
      <c r="H1780" t="s">
        <v>13</v>
      </c>
      <c r="I1780" t="s">
        <v>14</v>
      </c>
      <c r="J1780" t="s">
        <v>19</v>
      </c>
      <c r="K1780">
        <v>8369</v>
      </c>
      <c r="L1780">
        <v>30</v>
      </c>
      <c r="M1780">
        <v>251070</v>
      </c>
      <c r="N1780" t="s">
        <v>18</v>
      </c>
    </row>
    <row r="1781" spans="5:14" x14ac:dyDescent="0.35">
      <c r="E1781" t="s">
        <v>62</v>
      </c>
      <c r="F1781" t="s">
        <v>30</v>
      </c>
      <c r="G1781" t="s">
        <v>12</v>
      </c>
      <c r="H1781" t="s">
        <v>13</v>
      </c>
      <c r="I1781" t="s">
        <v>14</v>
      </c>
      <c r="J1781" t="s">
        <v>20</v>
      </c>
      <c r="K1781">
        <v>13785</v>
      </c>
      <c r="L1781">
        <v>15</v>
      </c>
      <c r="M1781">
        <v>206775</v>
      </c>
      <c r="N1781" t="s">
        <v>16</v>
      </c>
    </row>
    <row r="1782" spans="5:14" x14ac:dyDescent="0.35">
      <c r="E1782" t="s">
        <v>62</v>
      </c>
      <c r="F1782" t="s">
        <v>30</v>
      </c>
      <c r="G1782" t="s">
        <v>12</v>
      </c>
      <c r="H1782" t="s">
        <v>22</v>
      </c>
      <c r="I1782" t="s">
        <v>23</v>
      </c>
      <c r="J1782" t="s">
        <v>24</v>
      </c>
      <c r="K1782">
        <v>18139</v>
      </c>
      <c r="L1782">
        <v>2</v>
      </c>
      <c r="M1782">
        <v>36278</v>
      </c>
      <c r="N1782" t="s">
        <v>16</v>
      </c>
    </row>
    <row r="1783" spans="5:14" x14ac:dyDescent="0.35">
      <c r="E1783" t="s">
        <v>62</v>
      </c>
      <c r="F1783" t="s">
        <v>30</v>
      </c>
      <c r="G1783" t="s">
        <v>12</v>
      </c>
      <c r="H1783" t="s">
        <v>22</v>
      </c>
      <c r="I1783" t="s">
        <v>23</v>
      </c>
      <c r="J1783" t="s">
        <v>25</v>
      </c>
      <c r="K1783">
        <v>11519</v>
      </c>
      <c r="L1783">
        <v>2</v>
      </c>
      <c r="M1783">
        <v>23038</v>
      </c>
      <c r="N1783" t="s">
        <v>18</v>
      </c>
    </row>
    <row r="1784" spans="5:14" x14ac:dyDescent="0.35">
      <c r="E1784" t="s">
        <v>62</v>
      </c>
      <c r="F1784" t="s">
        <v>30</v>
      </c>
      <c r="G1784" t="s">
        <v>12</v>
      </c>
      <c r="H1784" t="s">
        <v>22</v>
      </c>
      <c r="I1784" t="s">
        <v>23</v>
      </c>
      <c r="J1784" t="s">
        <v>26</v>
      </c>
      <c r="K1784">
        <v>7688</v>
      </c>
      <c r="L1784">
        <v>5</v>
      </c>
      <c r="M1784">
        <v>38440</v>
      </c>
      <c r="N1784" t="s">
        <v>18</v>
      </c>
    </row>
    <row r="1785" spans="5:14" x14ac:dyDescent="0.35">
      <c r="E1785" t="s">
        <v>62</v>
      </c>
      <c r="F1785" t="s">
        <v>30</v>
      </c>
      <c r="G1785" t="s">
        <v>12</v>
      </c>
      <c r="H1785" t="s">
        <v>22</v>
      </c>
      <c r="I1785" t="s">
        <v>27</v>
      </c>
      <c r="J1785" t="s">
        <v>28</v>
      </c>
      <c r="K1785">
        <v>14030</v>
      </c>
      <c r="L1785">
        <v>3</v>
      </c>
      <c r="M1785">
        <v>42090</v>
      </c>
      <c r="N1785" t="s">
        <v>18</v>
      </c>
    </row>
    <row r="1786" spans="5:14" x14ac:dyDescent="0.35">
      <c r="E1786" t="s">
        <v>62</v>
      </c>
      <c r="F1786" t="s">
        <v>31</v>
      </c>
      <c r="G1786" t="s">
        <v>12</v>
      </c>
      <c r="H1786" t="s">
        <v>13</v>
      </c>
      <c r="I1786" t="s">
        <v>14</v>
      </c>
      <c r="J1786" t="s">
        <v>15</v>
      </c>
      <c r="K1786">
        <v>8137</v>
      </c>
      <c r="L1786">
        <v>10</v>
      </c>
      <c r="M1786">
        <v>81370</v>
      </c>
      <c r="N1786" t="s">
        <v>18</v>
      </c>
    </row>
    <row r="1787" spans="5:14" x14ac:dyDescent="0.35">
      <c r="E1787" t="s">
        <v>62</v>
      </c>
      <c r="F1787" t="s">
        <v>31</v>
      </c>
      <c r="G1787" t="s">
        <v>12</v>
      </c>
      <c r="H1787" t="s">
        <v>13</v>
      </c>
      <c r="I1787" t="s">
        <v>14</v>
      </c>
      <c r="J1787" t="s">
        <v>17</v>
      </c>
      <c r="K1787">
        <v>12664</v>
      </c>
      <c r="L1787">
        <v>20</v>
      </c>
      <c r="M1787">
        <v>253280</v>
      </c>
      <c r="N1787" t="s">
        <v>21</v>
      </c>
    </row>
    <row r="1788" spans="5:14" x14ac:dyDescent="0.35">
      <c r="E1788" t="s">
        <v>62</v>
      </c>
      <c r="F1788" t="s">
        <v>31</v>
      </c>
      <c r="G1788" t="s">
        <v>12</v>
      </c>
      <c r="H1788" t="s">
        <v>13</v>
      </c>
      <c r="I1788" t="s">
        <v>14</v>
      </c>
      <c r="J1788" t="s">
        <v>19</v>
      </c>
      <c r="K1788">
        <v>16929</v>
      </c>
      <c r="L1788">
        <v>30</v>
      </c>
      <c r="M1788">
        <v>507870</v>
      </c>
      <c r="N1788" t="s">
        <v>16</v>
      </c>
    </row>
    <row r="1789" spans="5:14" x14ac:dyDescent="0.35">
      <c r="E1789" t="s">
        <v>62</v>
      </c>
      <c r="F1789" t="s">
        <v>31</v>
      </c>
      <c r="G1789" t="s">
        <v>12</v>
      </c>
      <c r="H1789" t="s">
        <v>13</v>
      </c>
      <c r="I1789" t="s">
        <v>14</v>
      </c>
      <c r="J1789" t="s">
        <v>20</v>
      </c>
      <c r="K1789">
        <v>7791</v>
      </c>
      <c r="L1789">
        <v>15</v>
      </c>
      <c r="M1789">
        <v>116865</v>
      </c>
      <c r="N1789" t="s">
        <v>16</v>
      </c>
    </row>
    <row r="1790" spans="5:14" x14ac:dyDescent="0.35">
      <c r="E1790" t="s">
        <v>62</v>
      </c>
      <c r="F1790" t="s">
        <v>31</v>
      </c>
      <c r="G1790" t="s">
        <v>12</v>
      </c>
      <c r="H1790" t="s">
        <v>22</v>
      </c>
      <c r="I1790" t="s">
        <v>23</v>
      </c>
      <c r="J1790" t="s">
        <v>24</v>
      </c>
      <c r="K1790">
        <v>20743</v>
      </c>
      <c r="L1790">
        <v>2</v>
      </c>
      <c r="M1790">
        <v>41486</v>
      </c>
      <c r="N1790" t="s">
        <v>18</v>
      </c>
    </row>
    <row r="1791" spans="5:14" x14ac:dyDescent="0.35">
      <c r="E1791" t="s">
        <v>62</v>
      </c>
      <c r="F1791" t="s">
        <v>31</v>
      </c>
      <c r="G1791" t="s">
        <v>12</v>
      </c>
      <c r="H1791" t="s">
        <v>22</v>
      </c>
      <c r="I1791" t="s">
        <v>23</v>
      </c>
      <c r="J1791" t="s">
        <v>25</v>
      </c>
      <c r="K1791">
        <v>12955</v>
      </c>
      <c r="L1791">
        <v>2</v>
      </c>
      <c r="M1791">
        <v>25910</v>
      </c>
      <c r="N1791" t="s">
        <v>18</v>
      </c>
    </row>
    <row r="1792" spans="5:14" x14ac:dyDescent="0.35">
      <c r="E1792" t="s">
        <v>62</v>
      </c>
      <c r="F1792" t="s">
        <v>31</v>
      </c>
      <c r="G1792" t="s">
        <v>12</v>
      </c>
      <c r="H1792" t="s">
        <v>22</v>
      </c>
      <c r="I1792" t="s">
        <v>23</v>
      </c>
      <c r="J1792" t="s">
        <v>26</v>
      </c>
      <c r="K1792">
        <v>10816</v>
      </c>
      <c r="L1792">
        <v>5</v>
      </c>
      <c r="M1792">
        <v>54080</v>
      </c>
      <c r="N1792" t="s">
        <v>21</v>
      </c>
    </row>
    <row r="1793" spans="5:14" x14ac:dyDescent="0.35">
      <c r="E1793" t="s">
        <v>62</v>
      </c>
      <c r="F1793" t="s">
        <v>31</v>
      </c>
      <c r="G1793" t="s">
        <v>12</v>
      </c>
      <c r="H1793" t="s">
        <v>22</v>
      </c>
      <c r="I1793" t="s">
        <v>27</v>
      </c>
      <c r="J1793" t="s">
        <v>28</v>
      </c>
      <c r="K1793">
        <v>9658</v>
      </c>
      <c r="L1793">
        <v>3</v>
      </c>
      <c r="M1793">
        <v>28974</v>
      </c>
      <c r="N1793" t="s">
        <v>16</v>
      </c>
    </row>
    <row r="1794" spans="5:14" x14ac:dyDescent="0.35">
      <c r="E1794" t="s">
        <v>62</v>
      </c>
      <c r="F1794" t="s">
        <v>32</v>
      </c>
      <c r="G1794" t="s">
        <v>12</v>
      </c>
      <c r="H1794" t="s">
        <v>13</v>
      </c>
      <c r="I1794" t="s">
        <v>14</v>
      </c>
      <c r="J1794" t="s">
        <v>15</v>
      </c>
      <c r="K1794">
        <v>19464</v>
      </c>
      <c r="L1794">
        <v>10</v>
      </c>
      <c r="M1794">
        <v>194640</v>
      </c>
      <c r="N1794" t="s">
        <v>16</v>
      </c>
    </row>
    <row r="1795" spans="5:14" x14ac:dyDescent="0.35">
      <c r="E1795" t="s">
        <v>62</v>
      </c>
      <c r="F1795" t="s">
        <v>32</v>
      </c>
      <c r="G1795" t="s">
        <v>12</v>
      </c>
      <c r="H1795" t="s">
        <v>13</v>
      </c>
      <c r="I1795" t="s">
        <v>14</v>
      </c>
      <c r="J1795" t="s">
        <v>17</v>
      </c>
      <c r="K1795">
        <v>9615</v>
      </c>
      <c r="L1795">
        <v>20</v>
      </c>
      <c r="M1795">
        <v>192300</v>
      </c>
      <c r="N1795" t="s">
        <v>21</v>
      </c>
    </row>
    <row r="1796" spans="5:14" x14ac:dyDescent="0.35">
      <c r="E1796" t="s">
        <v>62</v>
      </c>
      <c r="F1796" t="s">
        <v>32</v>
      </c>
      <c r="G1796" t="s">
        <v>12</v>
      </c>
      <c r="H1796" t="s">
        <v>13</v>
      </c>
      <c r="I1796" t="s">
        <v>14</v>
      </c>
      <c r="J1796" t="s">
        <v>19</v>
      </c>
      <c r="K1796">
        <v>12560</v>
      </c>
      <c r="L1796">
        <v>30</v>
      </c>
      <c r="M1796">
        <v>376800</v>
      </c>
      <c r="N1796" t="s">
        <v>21</v>
      </c>
    </row>
    <row r="1797" spans="5:14" x14ac:dyDescent="0.35">
      <c r="E1797" t="s">
        <v>62</v>
      </c>
      <c r="F1797" t="s">
        <v>32</v>
      </c>
      <c r="G1797" t="s">
        <v>12</v>
      </c>
      <c r="H1797" t="s">
        <v>13</v>
      </c>
      <c r="I1797" t="s">
        <v>14</v>
      </c>
      <c r="J1797" t="s">
        <v>20</v>
      </c>
      <c r="K1797">
        <v>17716</v>
      </c>
      <c r="L1797">
        <v>15</v>
      </c>
      <c r="M1797">
        <v>265740</v>
      </c>
      <c r="N1797" t="s">
        <v>16</v>
      </c>
    </row>
    <row r="1798" spans="5:14" x14ac:dyDescent="0.35">
      <c r="E1798" t="s">
        <v>62</v>
      </c>
      <c r="F1798" t="s">
        <v>32</v>
      </c>
      <c r="G1798" t="s">
        <v>12</v>
      </c>
      <c r="H1798" t="s">
        <v>22</v>
      </c>
      <c r="I1798" t="s">
        <v>23</v>
      </c>
      <c r="J1798" t="s">
        <v>24</v>
      </c>
      <c r="K1798">
        <v>8400</v>
      </c>
      <c r="L1798">
        <v>2</v>
      </c>
      <c r="M1798">
        <v>16800</v>
      </c>
      <c r="N1798" t="s">
        <v>21</v>
      </c>
    </row>
    <row r="1799" spans="5:14" x14ac:dyDescent="0.35">
      <c r="E1799" t="s">
        <v>62</v>
      </c>
      <c r="F1799" t="s">
        <v>32</v>
      </c>
      <c r="G1799" t="s">
        <v>12</v>
      </c>
      <c r="H1799" t="s">
        <v>22</v>
      </c>
      <c r="I1799" t="s">
        <v>23</v>
      </c>
      <c r="J1799" t="s">
        <v>25</v>
      </c>
      <c r="K1799">
        <v>20253</v>
      </c>
      <c r="L1799">
        <v>2</v>
      </c>
      <c r="M1799">
        <v>40506</v>
      </c>
      <c r="N1799" t="s">
        <v>18</v>
      </c>
    </row>
    <row r="1800" spans="5:14" x14ac:dyDescent="0.35">
      <c r="E1800" t="s">
        <v>62</v>
      </c>
      <c r="F1800" t="s">
        <v>32</v>
      </c>
      <c r="G1800" t="s">
        <v>12</v>
      </c>
      <c r="H1800" t="s">
        <v>22</v>
      </c>
      <c r="I1800" t="s">
        <v>23</v>
      </c>
      <c r="J1800" t="s">
        <v>26</v>
      </c>
      <c r="K1800">
        <v>14855</v>
      </c>
      <c r="L1800">
        <v>5</v>
      </c>
      <c r="M1800">
        <v>74275</v>
      </c>
      <c r="N1800" t="s">
        <v>18</v>
      </c>
    </row>
    <row r="1801" spans="5:14" x14ac:dyDescent="0.35">
      <c r="E1801" t="s">
        <v>62</v>
      </c>
      <c r="F1801" t="s">
        <v>32</v>
      </c>
      <c r="G1801" t="s">
        <v>12</v>
      </c>
      <c r="H1801" t="s">
        <v>22</v>
      </c>
      <c r="I1801" t="s">
        <v>27</v>
      </c>
      <c r="J1801" t="s">
        <v>28</v>
      </c>
      <c r="K1801">
        <v>19485</v>
      </c>
      <c r="L1801">
        <v>3</v>
      </c>
      <c r="M1801">
        <v>58455</v>
      </c>
      <c r="N1801" t="s">
        <v>18</v>
      </c>
    </row>
    <row r="1802" spans="5:14" x14ac:dyDescent="0.35">
      <c r="E1802" t="s">
        <v>62</v>
      </c>
      <c r="F1802" t="s">
        <v>33</v>
      </c>
      <c r="G1802" t="s">
        <v>12</v>
      </c>
      <c r="H1802" t="s">
        <v>13</v>
      </c>
      <c r="I1802" t="s">
        <v>14</v>
      </c>
      <c r="J1802" t="s">
        <v>15</v>
      </c>
      <c r="K1802">
        <v>20407</v>
      </c>
      <c r="L1802">
        <v>10</v>
      </c>
      <c r="M1802">
        <v>204070</v>
      </c>
      <c r="N1802" t="s">
        <v>21</v>
      </c>
    </row>
    <row r="1803" spans="5:14" x14ac:dyDescent="0.35">
      <c r="E1803" t="s">
        <v>62</v>
      </c>
      <c r="F1803" t="s">
        <v>33</v>
      </c>
      <c r="G1803" t="s">
        <v>12</v>
      </c>
      <c r="H1803" t="s">
        <v>13</v>
      </c>
      <c r="I1803" t="s">
        <v>14</v>
      </c>
      <c r="J1803" t="s">
        <v>17</v>
      </c>
      <c r="K1803">
        <v>8367</v>
      </c>
      <c r="L1803">
        <v>20</v>
      </c>
      <c r="M1803">
        <v>167340</v>
      </c>
      <c r="N1803" t="s">
        <v>21</v>
      </c>
    </row>
    <row r="1804" spans="5:14" x14ac:dyDescent="0.35">
      <c r="E1804" t="s">
        <v>62</v>
      </c>
      <c r="F1804" t="s">
        <v>33</v>
      </c>
      <c r="G1804" t="s">
        <v>12</v>
      </c>
      <c r="H1804" t="s">
        <v>13</v>
      </c>
      <c r="I1804" t="s">
        <v>14</v>
      </c>
      <c r="J1804" t="s">
        <v>19</v>
      </c>
      <c r="K1804">
        <v>7578</v>
      </c>
      <c r="L1804">
        <v>30</v>
      </c>
      <c r="M1804">
        <v>227340</v>
      </c>
      <c r="N1804" t="s">
        <v>18</v>
      </c>
    </row>
    <row r="1805" spans="5:14" x14ac:dyDescent="0.35">
      <c r="E1805" t="s">
        <v>62</v>
      </c>
      <c r="F1805" t="s">
        <v>33</v>
      </c>
      <c r="G1805" t="s">
        <v>12</v>
      </c>
      <c r="H1805" t="s">
        <v>13</v>
      </c>
      <c r="I1805" t="s">
        <v>14</v>
      </c>
      <c r="J1805" t="s">
        <v>20</v>
      </c>
      <c r="K1805">
        <v>16468</v>
      </c>
      <c r="L1805">
        <v>15</v>
      </c>
      <c r="M1805">
        <v>247020</v>
      </c>
      <c r="N1805" t="s">
        <v>16</v>
      </c>
    </row>
    <row r="1806" spans="5:14" x14ac:dyDescent="0.35">
      <c r="E1806" t="s">
        <v>62</v>
      </c>
      <c r="F1806" t="s">
        <v>33</v>
      </c>
      <c r="G1806" t="s">
        <v>12</v>
      </c>
      <c r="H1806" t="s">
        <v>22</v>
      </c>
      <c r="I1806" t="s">
        <v>23</v>
      </c>
      <c r="J1806" t="s">
        <v>24</v>
      </c>
      <c r="K1806">
        <v>10312</v>
      </c>
      <c r="L1806">
        <v>2</v>
      </c>
      <c r="M1806">
        <v>20624</v>
      </c>
      <c r="N1806" t="s">
        <v>18</v>
      </c>
    </row>
    <row r="1807" spans="5:14" x14ac:dyDescent="0.35">
      <c r="E1807" t="s">
        <v>62</v>
      </c>
      <c r="F1807" t="s">
        <v>33</v>
      </c>
      <c r="G1807" t="s">
        <v>12</v>
      </c>
      <c r="H1807" t="s">
        <v>22</v>
      </c>
      <c r="I1807" t="s">
        <v>23</v>
      </c>
      <c r="J1807" t="s">
        <v>25</v>
      </c>
      <c r="K1807">
        <v>17826</v>
      </c>
      <c r="L1807">
        <v>2</v>
      </c>
      <c r="M1807">
        <v>35652</v>
      </c>
      <c r="N1807" t="s">
        <v>16</v>
      </c>
    </row>
    <row r="1808" spans="5:14" x14ac:dyDescent="0.35">
      <c r="E1808" t="s">
        <v>62</v>
      </c>
      <c r="F1808" t="s">
        <v>33</v>
      </c>
      <c r="G1808" t="s">
        <v>12</v>
      </c>
      <c r="H1808" t="s">
        <v>22</v>
      </c>
      <c r="I1808" t="s">
        <v>23</v>
      </c>
      <c r="J1808" t="s">
        <v>26</v>
      </c>
      <c r="K1808">
        <v>12735</v>
      </c>
      <c r="L1808">
        <v>5</v>
      </c>
      <c r="M1808">
        <v>63675</v>
      </c>
      <c r="N1808" t="s">
        <v>18</v>
      </c>
    </row>
    <row r="1809" spans="5:14" x14ac:dyDescent="0.35">
      <c r="E1809" t="s">
        <v>62</v>
      </c>
      <c r="F1809" t="s">
        <v>33</v>
      </c>
      <c r="G1809" t="s">
        <v>12</v>
      </c>
      <c r="H1809" t="s">
        <v>22</v>
      </c>
      <c r="I1809" t="s">
        <v>27</v>
      </c>
      <c r="J1809" t="s">
        <v>28</v>
      </c>
      <c r="K1809">
        <v>13582</v>
      </c>
      <c r="L1809">
        <v>3</v>
      </c>
      <c r="M1809">
        <v>40746</v>
      </c>
      <c r="N1809" t="s">
        <v>18</v>
      </c>
    </row>
    <row r="1810" spans="5:14" x14ac:dyDescent="0.35">
      <c r="E1810" t="s">
        <v>62</v>
      </c>
      <c r="F1810" t="s">
        <v>34</v>
      </c>
      <c r="G1810" t="s">
        <v>12</v>
      </c>
      <c r="H1810" t="s">
        <v>13</v>
      </c>
      <c r="I1810" t="s">
        <v>14</v>
      </c>
      <c r="J1810" t="s">
        <v>15</v>
      </c>
      <c r="K1810">
        <v>10333</v>
      </c>
      <c r="L1810">
        <v>10</v>
      </c>
      <c r="M1810">
        <v>103330</v>
      </c>
      <c r="N1810" t="s">
        <v>16</v>
      </c>
    </row>
    <row r="1811" spans="5:14" x14ac:dyDescent="0.35">
      <c r="E1811" t="s">
        <v>62</v>
      </c>
      <c r="F1811" t="s">
        <v>34</v>
      </c>
      <c r="G1811" t="s">
        <v>12</v>
      </c>
      <c r="H1811" t="s">
        <v>13</v>
      </c>
      <c r="I1811" t="s">
        <v>14</v>
      </c>
      <c r="J1811" t="s">
        <v>17</v>
      </c>
      <c r="K1811">
        <v>12806</v>
      </c>
      <c r="L1811">
        <v>20</v>
      </c>
      <c r="M1811">
        <v>256120</v>
      </c>
      <c r="N1811" t="s">
        <v>18</v>
      </c>
    </row>
    <row r="1812" spans="5:14" x14ac:dyDescent="0.35">
      <c r="E1812" t="s">
        <v>62</v>
      </c>
      <c r="F1812" t="s">
        <v>34</v>
      </c>
      <c r="G1812" t="s">
        <v>12</v>
      </c>
      <c r="H1812" t="s">
        <v>13</v>
      </c>
      <c r="I1812" t="s">
        <v>14</v>
      </c>
      <c r="J1812" t="s">
        <v>19</v>
      </c>
      <c r="K1812">
        <v>8682</v>
      </c>
      <c r="L1812">
        <v>30</v>
      </c>
      <c r="M1812">
        <v>260460</v>
      </c>
      <c r="N1812" t="s">
        <v>16</v>
      </c>
    </row>
    <row r="1813" spans="5:14" x14ac:dyDescent="0.35">
      <c r="E1813" t="s">
        <v>62</v>
      </c>
      <c r="F1813" t="s">
        <v>34</v>
      </c>
      <c r="G1813" t="s">
        <v>12</v>
      </c>
      <c r="H1813" t="s">
        <v>13</v>
      </c>
      <c r="I1813" t="s">
        <v>14</v>
      </c>
      <c r="J1813" t="s">
        <v>20</v>
      </c>
      <c r="K1813">
        <v>16788</v>
      </c>
      <c r="L1813">
        <v>15</v>
      </c>
      <c r="M1813">
        <v>251820</v>
      </c>
      <c r="N1813" t="s">
        <v>21</v>
      </c>
    </row>
    <row r="1814" spans="5:14" x14ac:dyDescent="0.35">
      <c r="E1814" t="s">
        <v>62</v>
      </c>
      <c r="F1814" t="s">
        <v>34</v>
      </c>
      <c r="G1814" t="s">
        <v>12</v>
      </c>
      <c r="H1814" t="s">
        <v>22</v>
      </c>
      <c r="I1814" t="s">
        <v>23</v>
      </c>
      <c r="J1814" t="s">
        <v>24</v>
      </c>
      <c r="K1814">
        <v>20441</v>
      </c>
      <c r="L1814">
        <v>2</v>
      </c>
      <c r="M1814">
        <v>40882</v>
      </c>
      <c r="N1814" t="s">
        <v>18</v>
      </c>
    </row>
    <row r="1815" spans="5:14" x14ac:dyDescent="0.35">
      <c r="E1815" t="s">
        <v>62</v>
      </c>
      <c r="F1815" t="s">
        <v>34</v>
      </c>
      <c r="G1815" t="s">
        <v>12</v>
      </c>
      <c r="H1815" t="s">
        <v>22</v>
      </c>
      <c r="I1815" t="s">
        <v>23</v>
      </c>
      <c r="J1815" t="s">
        <v>25</v>
      </c>
      <c r="K1815">
        <v>16003</v>
      </c>
      <c r="L1815">
        <v>2</v>
      </c>
      <c r="M1815">
        <v>32006</v>
      </c>
      <c r="N1815" t="s">
        <v>16</v>
      </c>
    </row>
    <row r="1816" spans="5:14" x14ac:dyDescent="0.35">
      <c r="E1816" t="s">
        <v>62</v>
      </c>
      <c r="F1816" t="s">
        <v>34</v>
      </c>
      <c r="G1816" t="s">
        <v>12</v>
      </c>
      <c r="H1816" t="s">
        <v>22</v>
      </c>
      <c r="I1816" t="s">
        <v>23</v>
      </c>
      <c r="J1816" t="s">
        <v>26</v>
      </c>
      <c r="K1816">
        <v>14856</v>
      </c>
      <c r="L1816">
        <v>5</v>
      </c>
      <c r="M1816">
        <v>74280</v>
      </c>
      <c r="N1816" t="s">
        <v>21</v>
      </c>
    </row>
    <row r="1817" spans="5:14" x14ac:dyDescent="0.35">
      <c r="E1817" t="s">
        <v>62</v>
      </c>
      <c r="F1817" t="s">
        <v>34</v>
      </c>
      <c r="G1817" t="s">
        <v>12</v>
      </c>
      <c r="H1817" t="s">
        <v>22</v>
      </c>
      <c r="I1817" t="s">
        <v>27</v>
      </c>
      <c r="J1817" t="s">
        <v>28</v>
      </c>
      <c r="K1817">
        <v>20533</v>
      </c>
      <c r="L1817">
        <v>3</v>
      </c>
      <c r="M1817">
        <v>61599</v>
      </c>
      <c r="N1817" t="s">
        <v>18</v>
      </c>
    </row>
    <row r="1818" spans="5:14" x14ac:dyDescent="0.35">
      <c r="E1818" t="s">
        <v>62</v>
      </c>
      <c r="F1818" t="s">
        <v>35</v>
      </c>
      <c r="G1818" t="s">
        <v>36</v>
      </c>
      <c r="H1818" t="s">
        <v>13</v>
      </c>
      <c r="I1818" t="s">
        <v>14</v>
      </c>
      <c r="J1818" t="s">
        <v>15</v>
      </c>
      <c r="K1818">
        <v>19464</v>
      </c>
      <c r="L1818">
        <v>10</v>
      </c>
      <c r="M1818">
        <v>194640</v>
      </c>
      <c r="N1818" t="s">
        <v>16</v>
      </c>
    </row>
    <row r="1819" spans="5:14" x14ac:dyDescent="0.35">
      <c r="E1819" t="s">
        <v>62</v>
      </c>
      <c r="F1819" t="s">
        <v>35</v>
      </c>
      <c r="G1819" t="s">
        <v>36</v>
      </c>
      <c r="H1819" t="s">
        <v>13</v>
      </c>
      <c r="I1819" t="s">
        <v>14</v>
      </c>
      <c r="J1819" t="s">
        <v>17</v>
      </c>
      <c r="K1819">
        <v>10913</v>
      </c>
      <c r="L1819">
        <v>20</v>
      </c>
      <c r="M1819">
        <v>218260</v>
      </c>
      <c r="N1819" t="s">
        <v>21</v>
      </c>
    </row>
    <row r="1820" spans="5:14" x14ac:dyDescent="0.35">
      <c r="E1820" t="s">
        <v>62</v>
      </c>
      <c r="F1820" t="s">
        <v>35</v>
      </c>
      <c r="G1820" t="s">
        <v>36</v>
      </c>
      <c r="H1820" t="s">
        <v>13</v>
      </c>
      <c r="I1820" t="s">
        <v>14</v>
      </c>
      <c r="J1820" t="s">
        <v>19</v>
      </c>
      <c r="K1820">
        <v>11360</v>
      </c>
      <c r="L1820">
        <v>30</v>
      </c>
      <c r="M1820">
        <v>340800</v>
      </c>
      <c r="N1820" t="s">
        <v>16</v>
      </c>
    </row>
    <row r="1821" spans="5:14" x14ac:dyDescent="0.35">
      <c r="E1821" t="s">
        <v>62</v>
      </c>
      <c r="F1821" t="s">
        <v>35</v>
      </c>
      <c r="G1821" t="s">
        <v>36</v>
      </c>
      <c r="H1821" t="s">
        <v>13</v>
      </c>
      <c r="I1821" t="s">
        <v>14</v>
      </c>
      <c r="J1821" t="s">
        <v>20</v>
      </c>
      <c r="K1821">
        <v>18604</v>
      </c>
      <c r="L1821">
        <v>15</v>
      </c>
      <c r="M1821">
        <v>279060</v>
      </c>
      <c r="N1821" t="s">
        <v>21</v>
      </c>
    </row>
    <row r="1822" spans="5:14" x14ac:dyDescent="0.35">
      <c r="E1822" t="s">
        <v>62</v>
      </c>
      <c r="F1822" t="s">
        <v>35</v>
      </c>
      <c r="G1822" t="s">
        <v>36</v>
      </c>
      <c r="H1822" t="s">
        <v>22</v>
      </c>
      <c r="I1822" t="s">
        <v>23</v>
      </c>
      <c r="J1822" t="s">
        <v>24</v>
      </c>
      <c r="K1822">
        <v>18377</v>
      </c>
      <c r="L1822">
        <v>2</v>
      </c>
      <c r="M1822">
        <v>36754</v>
      </c>
      <c r="N1822" t="s">
        <v>18</v>
      </c>
    </row>
    <row r="1823" spans="5:14" x14ac:dyDescent="0.35">
      <c r="E1823" t="s">
        <v>62</v>
      </c>
      <c r="F1823" t="s">
        <v>35</v>
      </c>
      <c r="G1823" t="s">
        <v>36</v>
      </c>
      <c r="H1823" t="s">
        <v>22</v>
      </c>
      <c r="I1823" t="s">
        <v>23</v>
      </c>
      <c r="J1823" t="s">
        <v>25</v>
      </c>
      <c r="K1823">
        <v>13944</v>
      </c>
      <c r="L1823">
        <v>2</v>
      </c>
      <c r="M1823">
        <v>27888</v>
      </c>
      <c r="N1823" t="s">
        <v>16</v>
      </c>
    </row>
    <row r="1824" spans="5:14" x14ac:dyDescent="0.35">
      <c r="E1824" t="s">
        <v>62</v>
      </c>
      <c r="F1824" t="s">
        <v>35</v>
      </c>
      <c r="G1824" t="s">
        <v>36</v>
      </c>
      <c r="H1824" t="s">
        <v>22</v>
      </c>
      <c r="I1824" t="s">
        <v>23</v>
      </c>
      <c r="J1824" t="s">
        <v>26</v>
      </c>
      <c r="K1824">
        <v>18984</v>
      </c>
      <c r="L1824">
        <v>5</v>
      </c>
      <c r="M1824">
        <v>94920</v>
      </c>
      <c r="N1824" t="s">
        <v>18</v>
      </c>
    </row>
    <row r="1825" spans="5:14" x14ac:dyDescent="0.35">
      <c r="E1825" t="s">
        <v>62</v>
      </c>
      <c r="F1825" t="s">
        <v>35</v>
      </c>
      <c r="G1825" t="s">
        <v>36</v>
      </c>
      <c r="H1825" t="s">
        <v>22</v>
      </c>
      <c r="I1825" t="s">
        <v>27</v>
      </c>
      <c r="J1825" t="s">
        <v>28</v>
      </c>
      <c r="K1825">
        <v>9951</v>
      </c>
      <c r="L1825">
        <v>3</v>
      </c>
      <c r="M1825">
        <v>29853</v>
      </c>
      <c r="N1825" t="s">
        <v>16</v>
      </c>
    </row>
    <row r="1826" spans="5:14" x14ac:dyDescent="0.35">
      <c r="E1826" t="s">
        <v>62</v>
      </c>
      <c r="F1826" t="s">
        <v>37</v>
      </c>
      <c r="G1826" t="s">
        <v>36</v>
      </c>
      <c r="H1826" t="s">
        <v>13</v>
      </c>
      <c r="I1826" t="s">
        <v>14</v>
      </c>
      <c r="J1826" t="s">
        <v>15</v>
      </c>
      <c r="K1826">
        <v>18036</v>
      </c>
      <c r="L1826">
        <v>10</v>
      </c>
      <c r="M1826">
        <v>180360</v>
      </c>
      <c r="N1826" t="s">
        <v>16</v>
      </c>
    </row>
    <row r="1827" spans="5:14" x14ac:dyDescent="0.35">
      <c r="E1827" t="s">
        <v>62</v>
      </c>
      <c r="F1827" t="s">
        <v>37</v>
      </c>
      <c r="G1827" t="s">
        <v>36</v>
      </c>
      <c r="H1827" t="s">
        <v>13</v>
      </c>
      <c r="I1827" t="s">
        <v>14</v>
      </c>
      <c r="J1827" t="s">
        <v>17</v>
      </c>
      <c r="K1827">
        <v>8116</v>
      </c>
      <c r="L1827">
        <v>20</v>
      </c>
      <c r="M1827">
        <v>162320</v>
      </c>
      <c r="N1827" t="s">
        <v>16</v>
      </c>
    </row>
    <row r="1828" spans="5:14" x14ac:dyDescent="0.35">
      <c r="E1828" t="s">
        <v>62</v>
      </c>
      <c r="F1828" t="s">
        <v>37</v>
      </c>
      <c r="G1828" t="s">
        <v>36</v>
      </c>
      <c r="H1828" t="s">
        <v>13</v>
      </c>
      <c r="I1828" t="s">
        <v>14</v>
      </c>
      <c r="J1828" t="s">
        <v>19</v>
      </c>
      <c r="K1828">
        <v>15742</v>
      </c>
      <c r="L1828">
        <v>30</v>
      </c>
      <c r="M1828">
        <v>472260</v>
      </c>
      <c r="N1828" t="s">
        <v>21</v>
      </c>
    </row>
    <row r="1829" spans="5:14" x14ac:dyDescent="0.35">
      <c r="E1829" t="s">
        <v>62</v>
      </c>
      <c r="F1829" t="s">
        <v>37</v>
      </c>
      <c r="G1829" t="s">
        <v>36</v>
      </c>
      <c r="H1829" t="s">
        <v>13</v>
      </c>
      <c r="I1829" t="s">
        <v>14</v>
      </c>
      <c r="J1829" t="s">
        <v>20</v>
      </c>
      <c r="K1829">
        <v>8277</v>
      </c>
      <c r="L1829">
        <v>15</v>
      </c>
      <c r="M1829">
        <v>124155</v>
      </c>
      <c r="N1829" t="s">
        <v>18</v>
      </c>
    </row>
    <row r="1830" spans="5:14" x14ac:dyDescent="0.35">
      <c r="E1830" t="s">
        <v>62</v>
      </c>
      <c r="F1830" t="s">
        <v>37</v>
      </c>
      <c r="G1830" t="s">
        <v>36</v>
      </c>
      <c r="H1830" t="s">
        <v>22</v>
      </c>
      <c r="I1830" t="s">
        <v>23</v>
      </c>
      <c r="J1830" t="s">
        <v>24</v>
      </c>
      <c r="K1830">
        <v>13231</v>
      </c>
      <c r="L1830">
        <v>2</v>
      </c>
      <c r="M1830">
        <v>26462</v>
      </c>
      <c r="N1830" t="s">
        <v>16</v>
      </c>
    </row>
    <row r="1831" spans="5:14" x14ac:dyDescent="0.35">
      <c r="E1831" t="s">
        <v>62</v>
      </c>
      <c r="F1831" t="s">
        <v>37</v>
      </c>
      <c r="G1831" t="s">
        <v>36</v>
      </c>
      <c r="H1831" t="s">
        <v>22</v>
      </c>
      <c r="I1831" t="s">
        <v>23</v>
      </c>
      <c r="J1831" t="s">
        <v>25</v>
      </c>
      <c r="K1831">
        <v>12679</v>
      </c>
      <c r="L1831">
        <v>2</v>
      </c>
      <c r="M1831">
        <v>25358</v>
      </c>
      <c r="N1831" t="s">
        <v>21</v>
      </c>
    </row>
    <row r="1832" spans="5:14" x14ac:dyDescent="0.35">
      <c r="E1832" t="s">
        <v>62</v>
      </c>
      <c r="F1832" t="s">
        <v>37</v>
      </c>
      <c r="G1832" t="s">
        <v>36</v>
      </c>
      <c r="H1832" t="s">
        <v>22</v>
      </c>
      <c r="I1832" t="s">
        <v>23</v>
      </c>
      <c r="J1832" t="s">
        <v>26</v>
      </c>
      <c r="K1832">
        <v>8733</v>
      </c>
      <c r="L1832">
        <v>5</v>
      </c>
      <c r="M1832">
        <v>43665</v>
      </c>
      <c r="N1832" t="s">
        <v>18</v>
      </c>
    </row>
    <row r="1833" spans="5:14" x14ac:dyDescent="0.35">
      <c r="E1833" t="s">
        <v>62</v>
      </c>
      <c r="F1833" t="s">
        <v>37</v>
      </c>
      <c r="G1833" t="s">
        <v>36</v>
      </c>
      <c r="H1833" t="s">
        <v>22</v>
      </c>
      <c r="I1833" t="s">
        <v>27</v>
      </c>
      <c r="J1833" t="s">
        <v>28</v>
      </c>
      <c r="K1833">
        <v>11650</v>
      </c>
      <c r="L1833">
        <v>3</v>
      </c>
      <c r="M1833">
        <v>34950</v>
      </c>
      <c r="N1833" t="s">
        <v>18</v>
      </c>
    </row>
    <row r="1834" spans="5:14" x14ac:dyDescent="0.35">
      <c r="E1834" t="s">
        <v>62</v>
      </c>
      <c r="F1834" t="s">
        <v>38</v>
      </c>
      <c r="G1834" t="s">
        <v>36</v>
      </c>
      <c r="H1834" t="s">
        <v>13</v>
      </c>
      <c r="I1834" t="s">
        <v>14</v>
      </c>
      <c r="J1834" t="s">
        <v>15</v>
      </c>
      <c r="K1834">
        <v>17104</v>
      </c>
      <c r="L1834">
        <v>10</v>
      </c>
      <c r="M1834">
        <v>171040</v>
      </c>
      <c r="N1834" t="s">
        <v>18</v>
      </c>
    </row>
    <row r="1835" spans="5:14" x14ac:dyDescent="0.35">
      <c r="E1835" t="s">
        <v>62</v>
      </c>
      <c r="F1835" t="s">
        <v>38</v>
      </c>
      <c r="G1835" t="s">
        <v>36</v>
      </c>
      <c r="H1835" t="s">
        <v>13</v>
      </c>
      <c r="I1835" t="s">
        <v>14</v>
      </c>
      <c r="J1835" t="s">
        <v>17</v>
      </c>
      <c r="K1835">
        <v>10511</v>
      </c>
      <c r="L1835">
        <v>20</v>
      </c>
      <c r="M1835">
        <v>210220</v>
      </c>
      <c r="N1835" t="s">
        <v>21</v>
      </c>
    </row>
    <row r="1836" spans="5:14" x14ac:dyDescent="0.35">
      <c r="E1836" t="s">
        <v>62</v>
      </c>
      <c r="F1836" t="s">
        <v>38</v>
      </c>
      <c r="G1836" t="s">
        <v>36</v>
      </c>
      <c r="H1836" t="s">
        <v>13</v>
      </c>
      <c r="I1836" t="s">
        <v>14</v>
      </c>
      <c r="J1836" t="s">
        <v>19</v>
      </c>
      <c r="K1836">
        <v>20935</v>
      </c>
      <c r="L1836">
        <v>30</v>
      </c>
      <c r="M1836">
        <v>628050</v>
      </c>
      <c r="N1836" t="s">
        <v>16</v>
      </c>
    </row>
    <row r="1837" spans="5:14" x14ac:dyDescent="0.35">
      <c r="E1837" t="s">
        <v>62</v>
      </c>
      <c r="F1837" t="s">
        <v>38</v>
      </c>
      <c r="G1837" t="s">
        <v>36</v>
      </c>
      <c r="H1837" t="s">
        <v>13</v>
      </c>
      <c r="I1837" t="s">
        <v>14</v>
      </c>
      <c r="J1837" t="s">
        <v>20</v>
      </c>
      <c r="K1837">
        <v>8749</v>
      </c>
      <c r="L1837">
        <v>15</v>
      </c>
      <c r="M1837">
        <v>131235</v>
      </c>
      <c r="N1837" t="s">
        <v>21</v>
      </c>
    </row>
    <row r="1838" spans="5:14" x14ac:dyDescent="0.35">
      <c r="E1838" t="s">
        <v>62</v>
      </c>
      <c r="F1838" t="s">
        <v>38</v>
      </c>
      <c r="G1838" t="s">
        <v>36</v>
      </c>
      <c r="H1838" t="s">
        <v>22</v>
      </c>
      <c r="I1838" t="s">
        <v>23</v>
      </c>
      <c r="J1838" t="s">
        <v>24</v>
      </c>
      <c r="K1838">
        <v>14063</v>
      </c>
      <c r="L1838">
        <v>2</v>
      </c>
      <c r="M1838">
        <v>28126</v>
      </c>
      <c r="N1838" t="s">
        <v>16</v>
      </c>
    </row>
    <row r="1839" spans="5:14" x14ac:dyDescent="0.35">
      <c r="E1839" t="s">
        <v>62</v>
      </c>
      <c r="F1839" t="s">
        <v>38</v>
      </c>
      <c r="G1839" t="s">
        <v>36</v>
      </c>
      <c r="H1839" t="s">
        <v>22</v>
      </c>
      <c r="I1839" t="s">
        <v>23</v>
      </c>
      <c r="J1839" t="s">
        <v>25</v>
      </c>
      <c r="K1839">
        <v>13643</v>
      </c>
      <c r="L1839">
        <v>2</v>
      </c>
      <c r="M1839">
        <v>27286</v>
      </c>
      <c r="N1839" t="s">
        <v>21</v>
      </c>
    </row>
    <row r="1840" spans="5:14" x14ac:dyDescent="0.35">
      <c r="E1840" t="s">
        <v>62</v>
      </c>
      <c r="F1840" t="s">
        <v>38</v>
      </c>
      <c r="G1840" t="s">
        <v>36</v>
      </c>
      <c r="H1840" t="s">
        <v>22</v>
      </c>
      <c r="I1840" t="s">
        <v>23</v>
      </c>
      <c r="J1840" t="s">
        <v>26</v>
      </c>
      <c r="K1840">
        <v>10970</v>
      </c>
      <c r="L1840">
        <v>5</v>
      </c>
      <c r="M1840">
        <v>54850</v>
      </c>
      <c r="N1840" t="s">
        <v>18</v>
      </c>
    </row>
    <row r="1841" spans="5:14" x14ac:dyDescent="0.35">
      <c r="E1841" t="s">
        <v>62</v>
      </c>
      <c r="F1841" t="s">
        <v>38</v>
      </c>
      <c r="G1841" t="s">
        <v>36</v>
      </c>
      <c r="H1841" t="s">
        <v>22</v>
      </c>
      <c r="I1841" t="s">
        <v>27</v>
      </c>
      <c r="J1841" t="s">
        <v>28</v>
      </c>
      <c r="K1841">
        <v>8303</v>
      </c>
      <c r="L1841">
        <v>3</v>
      </c>
      <c r="M1841">
        <v>24909</v>
      </c>
      <c r="N1841" t="s">
        <v>18</v>
      </c>
    </row>
    <row r="1842" spans="5:14" x14ac:dyDescent="0.35">
      <c r="E1842" t="s">
        <v>62</v>
      </c>
      <c r="F1842" t="s">
        <v>39</v>
      </c>
      <c r="G1842" t="s">
        <v>36</v>
      </c>
      <c r="H1842" t="s">
        <v>13</v>
      </c>
      <c r="I1842" t="s">
        <v>14</v>
      </c>
      <c r="J1842" t="s">
        <v>15</v>
      </c>
      <c r="K1842">
        <v>9172</v>
      </c>
      <c r="L1842">
        <v>10</v>
      </c>
      <c r="M1842">
        <v>91720</v>
      </c>
      <c r="N1842" t="s">
        <v>21</v>
      </c>
    </row>
    <row r="1843" spans="5:14" x14ac:dyDescent="0.35">
      <c r="E1843" t="s">
        <v>62</v>
      </c>
      <c r="F1843" t="s">
        <v>39</v>
      </c>
      <c r="G1843" t="s">
        <v>36</v>
      </c>
      <c r="H1843" t="s">
        <v>13</v>
      </c>
      <c r="I1843" t="s">
        <v>14</v>
      </c>
      <c r="J1843" t="s">
        <v>17</v>
      </c>
      <c r="K1843">
        <v>12064</v>
      </c>
      <c r="L1843">
        <v>20</v>
      </c>
      <c r="M1843">
        <v>241280</v>
      </c>
      <c r="N1843" t="s">
        <v>16</v>
      </c>
    </row>
    <row r="1844" spans="5:14" x14ac:dyDescent="0.35">
      <c r="E1844" t="s">
        <v>62</v>
      </c>
      <c r="F1844" t="s">
        <v>39</v>
      </c>
      <c r="G1844" t="s">
        <v>36</v>
      </c>
      <c r="H1844" t="s">
        <v>13</v>
      </c>
      <c r="I1844" t="s">
        <v>14</v>
      </c>
      <c r="J1844" t="s">
        <v>19</v>
      </c>
      <c r="K1844">
        <v>19358</v>
      </c>
      <c r="L1844">
        <v>30</v>
      </c>
      <c r="M1844">
        <v>580740</v>
      </c>
      <c r="N1844" t="s">
        <v>18</v>
      </c>
    </row>
    <row r="1845" spans="5:14" x14ac:dyDescent="0.35">
      <c r="E1845" t="s">
        <v>62</v>
      </c>
      <c r="F1845" t="s">
        <v>39</v>
      </c>
      <c r="G1845" t="s">
        <v>36</v>
      </c>
      <c r="H1845" t="s">
        <v>13</v>
      </c>
      <c r="I1845" t="s">
        <v>14</v>
      </c>
      <c r="J1845" t="s">
        <v>20</v>
      </c>
      <c r="K1845">
        <v>14952</v>
      </c>
      <c r="L1845">
        <v>15</v>
      </c>
      <c r="M1845">
        <v>224280</v>
      </c>
      <c r="N1845" t="s">
        <v>18</v>
      </c>
    </row>
    <row r="1846" spans="5:14" x14ac:dyDescent="0.35">
      <c r="E1846" t="s">
        <v>62</v>
      </c>
      <c r="F1846" t="s">
        <v>39</v>
      </c>
      <c r="G1846" t="s">
        <v>36</v>
      </c>
      <c r="H1846" t="s">
        <v>22</v>
      </c>
      <c r="I1846" t="s">
        <v>23</v>
      </c>
      <c r="J1846" t="s">
        <v>24</v>
      </c>
      <c r="K1846">
        <v>12493</v>
      </c>
      <c r="L1846">
        <v>2</v>
      </c>
      <c r="M1846">
        <v>24986</v>
      </c>
      <c r="N1846" t="s">
        <v>18</v>
      </c>
    </row>
    <row r="1847" spans="5:14" x14ac:dyDescent="0.35">
      <c r="E1847" t="s">
        <v>62</v>
      </c>
      <c r="F1847" t="s">
        <v>39</v>
      </c>
      <c r="G1847" t="s">
        <v>36</v>
      </c>
      <c r="H1847" t="s">
        <v>22</v>
      </c>
      <c r="I1847" t="s">
        <v>23</v>
      </c>
      <c r="J1847" t="s">
        <v>25</v>
      </c>
      <c r="K1847">
        <v>16250</v>
      </c>
      <c r="L1847">
        <v>2</v>
      </c>
      <c r="M1847">
        <v>32500</v>
      </c>
      <c r="N1847" t="s">
        <v>16</v>
      </c>
    </row>
    <row r="1848" spans="5:14" x14ac:dyDescent="0.35">
      <c r="E1848" t="s">
        <v>62</v>
      </c>
      <c r="F1848" t="s">
        <v>39</v>
      </c>
      <c r="G1848" t="s">
        <v>36</v>
      </c>
      <c r="H1848" t="s">
        <v>22</v>
      </c>
      <c r="I1848" t="s">
        <v>23</v>
      </c>
      <c r="J1848" t="s">
        <v>26</v>
      </c>
      <c r="K1848">
        <v>8538</v>
      </c>
      <c r="L1848">
        <v>5</v>
      </c>
      <c r="M1848">
        <v>42690</v>
      </c>
      <c r="N1848" t="s">
        <v>18</v>
      </c>
    </row>
    <row r="1849" spans="5:14" x14ac:dyDescent="0.35">
      <c r="E1849" t="s">
        <v>62</v>
      </c>
      <c r="F1849" t="s">
        <v>39</v>
      </c>
      <c r="G1849" t="s">
        <v>36</v>
      </c>
      <c r="H1849" t="s">
        <v>22</v>
      </c>
      <c r="I1849" t="s">
        <v>27</v>
      </c>
      <c r="J1849" t="s">
        <v>28</v>
      </c>
      <c r="K1849">
        <v>12963</v>
      </c>
      <c r="L1849">
        <v>3</v>
      </c>
      <c r="M1849">
        <v>38889</v>
      </c>
      <c r="N1849" t="s">
        <v>16</v>
      </c>
    </row>
    <row r="1850" spans="5:14" x14ac:dyDescent="0.35">
      <c r="E1850" t="s">
        <v>62</v>
      </c>
      <c r="F1850" t="s">
        <v>40</v>
      </c>
      <c r="G1850" t="s">
        <v>36</v>
      </c>
      <c r="H1850" t="s">
        <v>13</v>
      </c>
      <c r="I1850" t="s">
        <v>14</v>
      </c>
      <c r="J1850" t="s">
        <v>15</v>
      </c>
      <c r="K1850">
        <v>11116</v>
      </c>
      <c r="L1850">
        <v>10</v>
      </c>
      <c r="M1850">
        <v>111160</v>
      </c>
      <c r="N1850" t="s">
        <v>16</v>
      </c>
    </row>
    <row r="1851" spans="5:14" x14ac:dyDescent="0.35">
      <c r="E1851" t="s">
        <v>62</v>
      </c>
      <c r="F1851" t="s">
        <v>40</v>
      </c>
      <c r="G1851" t="s">
        <v>36</v>
      </c>
      <c r="H1851" t="s">
        <v>13</v>
      </c>
      <c r="I1851" t="s">
        <v>14</v>
      </c>
      <c r="J1851" t="s">
        <v>17</v>
      </c>
      <c r="K1851">
        <v>18867</v>
      </c>
      <c r="L1851">
        <v>20</v>
      </c>
      <c r="M1851">
        <v>377340</v>
      </c>
      <c r="N1851" t="s">
        <v>21</v>
      </c>
    </row>
    <row r="1852" spans="5:14" x14ac:dyDescent="0.35">
      <c r="E1852" t="s">
        <v>62</v>
      </c>
      <c r="F1852" t="s">
        <v>40</v>
      </c>
      <c r="G1852" t="s">
        <v>36</v>
      </c>
      <c r="H1852" t="s">
        <v>13</v>
      </c>
      <c r="I1852" t="s">
        <v>14</v>
      </c>
      <c r="J1852" t="s">
        <v>19</v>
      </c>
      <c r="K1852">
        <v>16499</v>
      </c>
      <c r="L1852">
        <v>30</v>
      </c>
      <c r="M1852">
        <v>494970</v>
      </c>
      <c r="N1852" t="s">
        <v>16</v>
      </c>
    </row>
    <row r="1853" spans="5:14" x14ac:dyDescent="0.35">
      <c r="E1853" t="s">
        <v>62</v>
      </c>
      <c r="F1853" t="s">
        <v>40</v>
      </c>
      <c r="G1853" t="s">
        <v>36</v>
      </c>
      <c r="H1853" t="s">
        <v>13</v>
      </c>
      <c r="I1853" t="s">
        <v>14</v>
      </c>
      <c r="J1853" t="s">
        <v>20</v>
      </c>
      <c r="K1853">
        <v>18647</v>
      </c>
      <c r="L1853">
        <v>15</v>
      </c>
      <c r="M1853">
        <v>279705</v>
      </c>
      <c r="N1853" t="s">
        <v>21</v>
      </c>
    </row>
    <row r="1854" spans="5:14" x14ac:dyDescent="0.35">
      <c r="E1854" t="s">
        <v>62</v>
      </c>
      <c r="F1854" t="s">
        <v>40</v>
      </c>
      <c r="G1854" t="s">
        <v>36</v>
      </c>
      <c r="H1854" t="s">
        <v>22</v>
      </c>
      <c r="I1854" t="s">
        <v>23</v>
      </c>
      <c r="J1854" t="s">
        <v>24</v>
      </c>
      <c r="K1854">
        <v>19906</v>
      </c>
      <c r="L1854">
        <v>2</v>
      </c>
      <c r="M1854">
        <v>39812</v>
      </c>
      <c r="N1854" t="s">
        <v>16</v>
      </c>
    </row>
    <row r="1855" spans="5:14" x14ac:dyDescent="0.35">
      <c r="E1855" t="s">
        <v>62</v>
      </c>
      <c r="F1855" t="s">
        <v>40</v>
      </c>
      <c r="G1855" t="s">
        <v>36</v>
      </c>
      <c r="H1855" t="s">
        <v>22</v>
      </c>
      <c r="I1855" t="s">
        <v>23</v>
      </c>
      <c r="J1855" t="s">
        <v>25</v>
      </c>
      <c r="K1855">
        <v>15024</v>
      </c>
      <c r="L1855">
        <v>2</v>
      </c>
      <c r="M1855">
        <v>30048</v>
      </c>
      <c r="N1855" t="s">
        <v>16</v>
      </c>
    </row>
    <row r="1856" spans="5:14" x14ac:dyDescent="0.35">
      <c r="E1856" t="s">
        <v>62</v>
      </c>
      <c r="F1856" t="s">
        <v>40</v>
      </c>
      <c r="G1856" t="s">
        <v>36</v>
      </c>
      <c r="H1856" t="s">
        <v>22</v>
      </c>
      <c r="I1856" t="s">
        <v>23</v>
      </c>
      <c r="J1856" t="s">
        <v>26</v>
      </c>
      <c r="K1856">
        <v>7799</v>
      </c>
      <c r="L1856">
        <v>5</v>
      </c>
      <c r="M1856">
        <v>38995</v>
      </c>
      <c r="N1856" t="s">
        <v>16</v>
      </c>
    </row>
    <row r="1857" spans="5:14" x14ac:dyDescent="0.35">
      <c r="E1857" t="s">
        <v>62</v>
      </c>
      <c r="F1857" t="s">
        <v>40</v>
      </c>
      <c r="G1857" t="s">
        <v>36</v>
      </c>
      <c r="H1857" t="s">
        <v>22</v>
      </c>
      <c r="I1857" t="s">
        <v>27</v>
      </c>
      <c r="J1857" t="s">
        <v>28</v>
      </c>
      <c r="K1857">
        <v>20428</v>
      </c>
      <c r="L1857">
        <v>3</v>
      </c>
      <c r="M1857">
        <v>61284</v>
      </c>
      <c r="N1857" t="s">
        <v>18</v>
      </c>
    </row>
    <row r="1858" spans="5:14" x14ac:dyDescent="0.35">
      <c r="E1858" t="s">
        <v>62</v>
      </c>
      <c r="F1858" t="s">
        <v>41</v>
      </c>
      <c r="G1858" t="s">
        <v>42</v>
      </c>
      <c r="H1858" t="s">
        <v>13</v>
      </c>
      <c r="I1858" t="s">
        <v>14</v>
      </c>
      <c r="J1858" t="s">
        <v>15</v>
      </c>
      <c r="K1858">
        <v>17796</v>
      </c>
      <c r="L1858">
        <v>10</v>
      </c>
      <c r="M1858">
        <v>177960</v>
      </c>
      <c r="N1858" t="s">
        <v>21</v>
      </c>
    </row>
    <row r="1859" spans="5:14" x14ac:dyDescent="0.35">
      <c r="E1859" t="s">
        <v>62</v>
      </c>
      <c r="F1859" t="s">
        <v>41</v>
      </c>
      <c r="G1859" t="s">
        <v>42</v>
      </c>
      <c r="H1859" t="s">
        <v>13</v>
      </c>
      <c r="I1859" t="s">
        <v>14</v>
      </c>
      <c r="J1859" t="s">
        <v>17</v>
      </c>
      <c r="K1859">
        <v>15746</v>
      </c>
      <c r="L1859">
        <v>20</v>
      </c>
      <c r="M1859">
        <v>314920</v>
      </c>
      <c r="N1859" t="s">
        <v>18</v>
      </c>
    </row>
    <row r="1860" spans="5:14" x14ac:dyDescent="0.35">
      <c r="E1860" t="s">
        <v>62</v>
      </c>
      <c r="F1860" t="s">
        <v>41</v>
      </c>
      <c r="G1860" t="s">
        <v>42</v>
      </c>
      <c r="H1860" t="s">
        <v>13</v>
      </c>
      <c r="I1860" t="s">
        <v>14</v>
      </c>
      <c r="J1860" t="s">
        <v>19</v>
      </c>
      <c r="K1860">
        <v>15727</v>
      </c>
      <c r="L1860">
        <v>30</v>
      </c>
      <c r="M1860">
        <v>471810</v>
      </c>
      <c r="N1860" t="s">
        <v>21</v>
      </c>
    </row>
    <row r="1861" spans="5:14" x14ac:dyDescent="0.35">
      <c r="E1861" t="s">
        <v>62</v>
      </c>
      <c r="F1861" t="s">
        <v>41</v>
      </c>
      <c r="G1861" t="s">
        <v>42</v>
      </c>
      <c r="H1861" t="s">
        <v>13</v>
      </c>
      <c r="I1861" t="s">
        <v>14</v>
      </c>
      <c r="J1861" t="s">
        <v>20</v>
      </c>
      <c r="K1861">
        <v>20775</v>
      </c>
      <c r="L1861">
        <v>15</v>
      </c>
      <c r="M1861">
        <v>311625</v>
      </c>
      <c r="N1861" t="s">
        <v>16</v>
      </c>
    </row>
    <row r="1862" spans="5:14" x14ac:dyDescent="0.35">
      <c r="E1862" t="s">
        <v>62</v>
      </c>
      <c r="F1862" t="s">
        <v>41</v>
      </c>
      <c r="G1862" t="s">
        <v>42</v>
      </c>
      <c r="H1862" t="s">
        <v>22</v>
      </c>
      <c r="I1862" t="s">
        <v>23</v>
      </c>
      <c r="J1862" t="s">
        <v>24</v>
      </c>
      <c r="K1862">
        <v>11547</v>
      </c>
      <c r="L1862">
        <v>2</v>
      </c>
      <c r="M1862">
        <v>23094</v>
      </c>
      <c r="N1862" t="s">
        <v>16</v>
      </c>
    </row>
    <row r="1863" spans="5:14" x14ac:dyDescent="0.35">
      <c r="E1863" t="s">
        <v>62</v>
      </c>
      <c r="F1863" t="s">
        <v>41</v>
      </c>
      <c r="G1863" t="s">
        <v>42</v>
      </c>
      <c r="H1863" t="s">
        <v>22</v>
      </c>
      <c r="I1863" t="s">
        <v>23</v>
      </c>
      <c r="J1863" t="s">
        <v>25</v>
      </c>
      <c r="K1863">
        <v>8720</v>
      </c>
      <c r="L1863">
        <v>2</v>
      </c>
      <c r="M1863">
        <v>17440</v>
      </c>
      <c r="N1863" t="s">
        <v>21</v>
      </c>
    </row>
    <row r="1864" spans="5:14" x14ac:dyDescent="0.35">
      <c r="E1864" t="s">
        <v>62</v>
      </c>
      <c r="F1864" t="s">
        <v>41</v>
      </c>
      <c r="G1864" t="s">
        <v>42</v>
      </c>
      <c r="H1864" t="s">
        <v>22</v>
      </c>
      <c r="I1864" t="s">
        <v>23</v>
      </c>
      <c r="J1864" t="s">
        <v>26</v>
      </c>
      <c r="K1864">
        <v>7899</v>
      </c>
      <c r="L1864">
        <v>5</v>
      </c>
      <c r="M1864">
        <v>39495</v>
      </c>
      <c r="N1864" t="s">
        <v>21</v>
      </c>
    </row>
    <row r="1865" spans="5:14" x14ac:dyDescent="0.35">
      <c r="E1865" t="s">
        <v>62</v>
      </c>
      <c r="F1865" t="s">
        <v>41</v>
      </c>
      <c r="G1865" t="s">
        <v>42</v>
      </c>
      <c r="H1865" t="s">
        <v>22</v>
      </c>
      <c r="I1865" t="s">
        <v>27</v>
      </c>
      <c r="J1865" t="s">
        <v>28</v>
      </c>
      <c r="K1865">
        <v>7532</v>
      </c>
      <c r="L1865">
        <v>3</v>
      </c>
      <c r="M1865">
        <v>22596</v>
      </c>
      <c r="N1865" t="s">
        <v>18</v>
      </c>
    </row>
    <row r="1866" spans="5:14" x14ac:dyDescent="0.35">
      <c r="E1866" t="s">
        <v>62</v>
      </c>
      <c r="F1866" t="s">
        <v>43</v>
      </c>
      <c r="G1866" t="s">
        <v>42</v>
      </c>
      <c r="H1866" t="s">
        <v>13</v>
      </c>
      <c r="I1866" t="s">
        <v>14</v>
      </c>
      <c r="J1866" t="s">
        <v>15</v>
      </c>
      <c r="K1866">
        <v>15808</v>
      </c>
      <c r="L1866">
        <v>10</v>
      </c>
      <c r="M1866">
        <v>158080</v>
      </c>
      <c r="N1866" t="s">
        <v>21</v>
      </c>
    </row>
    <row r="1867" spans="5:14" x14ac:dyDescent="0.35">
      <c r="E1867" t="s">
        <v>62</v>
      </c>
      <c r="F1867" t="s">
        <v>43</v>
      </c>
      <c r="G1867" t="s">
        <v>42</v>
      </c>
      <c r="H1867" t="s">
        <v>13</v>
      </c>
      <c r="I1867" t="s">
        <v>14</v>
      </c>
      <c r="J1867" t="s">
        <v>17</v>
      </c>
      <c r="K1867">
        <v>19395</v>
      </c>
      <c r="L1867">
        <v>20</v>
      </c>
      <c r="M1867">
        <v>387900</v>
      </c>
      <c r="N1867" t="s">
        <v>18</v>
      </c>
    </row>
    <row r="1868" spans="5:14" x14ac:dyDescent="0.35">
      <c r="E1868" t="s">
        <v>62</v>
      </c>
      <c r="F1868" t="s">
        <v>43</v>
      </c>
      <c r="G1868" t="s">
        <v>42</v>
      </c>
      <c r="H1868" t="s">
        <v>13</v>
      </c>
      <c r="I1868" t="s">
        <v>14</v>
      </c>
      <c r="J1868" t="s">
        <v>19</v>
      </c>
      <c r="K1868">
        <v>16294</v>
      </c>
      <c r="L1868">
        <v>30</v>
      </c>
      <c r="M1868">
        <v>488820</v>
      </c>
      <c r="N1868" t="s">
        <v>18</v>
      </c>
    </row>
    <row r="1869" spans="5:14" x14ac:dyDescent="0.35">
      <c r="E1869" t="s">
        <v>62</v>
      </c>
      <c r="F1869" t="s">
        <v>43</v>
      </c>
      <c r="G1869" t="s">
        <v>42</v>
      </c>
      <c r="H1869" t="s">
        <v>13</v>
      </c>
      <c r="I1869" t="s">
        <v>14</v>
      </c>
      <c r="J1869" t="s">
        <v>20</v>
      </c>
      <c r="K1869">
        <v>20679</v>
      </c>
      <c r="L1869">
        <v>15</v>
      </c>
      <c r="M1869">
        <v>310185</v>
      </c>
      <c r="N1869" t="s">
        <v>18</v>
      </c>
    </row>
    <row r="1870" spans="5:14" x14ac:dyDescent="0.35">
      <c r="E1870" t="s">
        <v>62</v>
      </c>
      <c r="F1870" t="s">
        <v>43</v>
      </c>
      <c r="G1870" t="s">
        <v>42</v>
      </c>
      <c r="H1870" t="s">
        <v>22</v>
      </c>
      <c r="I1870" t="s">
        <v>23</v>
      </c>
      <c r="J1870" t="s">
        <v>24</v>
      </c>
      <c r="K1870">
        <v>11530</v>
      </c>
      <c r="L1870">
        <v>2</v>
      </c>
      <c r="M1870">
        <v>23060</v>
      </c>
      <c r="N1870" t="s">
        <v>21</v>
      </c>
    </row>
    <row r="1871" spans="5:14" x14ac:dyDescent="0.35">
      <c r="E1871" t="s">
        <v>62</v>
      </c>
      <c r="F1871" t="s">
        <v>43</v>
      </c>
      <c r="G1871" t="s">
        <v>42</v>
      </c>
      <c r="H1871" t="s">
        <v>22</v>
      </c>
      <c r="I1871" t="s">
        <v>23</v>
      </c>
      <c r="J1871" t="s">
        <v>25</v>
      </c>
      <c r="K1871">
        <v>14715</v>
      </c>
      <c r="L1871">
        <v>2</v>
      </c>
      <c r="M1871">
        <v>29430</v>
      </c>
      <c r="N1871" t="s">
        <v>16</v>
      </c>
    </row>
    <row r="1872" spans="5:14" x14ac:dyDescent="0.35">
      <c r="E1872" t="s">
        <v>62</v>
      </c>
      <c r="F1872" t="s">
        <v>43</v>
      </c>
      <c r="G1872" t="s">
        <v>42</v>
      </c>
      <c r="H1872" t="s">
        <v>22</v>
      </c>
      <c r="I1872" t="s">
        <v>23</v>
      </c>
      <c r="J1872" t="s">
        <v>26</v>
      </c>
      <c r="K1872">
        <v>7155</v>
      </c>
      <c r="L1872">
        <v>5</v>
      </c>
      <c r="M1872">
        <v>35775</v>
      </c>
      <c r="N1872" t="s">
        <v>18</v>
      </c>
    </row>
    <row r="1873" spans="5:14" x14ac:dyDescent="0.35">
      <c r="E1873" t="s">
        <v>62</v>
      </c>
      <c r="F1873" t="s">
        <v>43</v>
      </c>
      <c r="G1873" t="s">
        <v>42</v>
      </c>
      <c r="H1873" t="s">
        <v>22</v>
      </c>
      <c r="I1873" t="s">
        <v>27</v>
      </c>
      <c r="J1873" t="s">
        <v>28</v>
      </c>
      <c r="K1873">
        <v>19594</v>
      </c>
      <c r="L1873">
        <v>3</v>
      </c>
      <c r="M1873">
        <v>58782</v>
      </c>
      <c r="N1873" t="s">
        <v>18</v>
      </c>
    </row>
    <row r="1874" spans="5:14" x14ac:dyDescent="0.35">
      <c r="E1874" t="s">
        <v>62</v>
      </c>
      <c r="F1874" t="s">
        <v>44</v>
      </c>
      <c r="G1874" t="s">
        <v>42</v>
      </c>
      <c r="H1874" t="s">
        <v>13</v>
      </c>
      <c r="I1874" t="s">
        <v>14</v>
      </c>
      <c r="J1874" t="s">
        <v>15</v>
      </c>
      <c r="K1874">
        <v>11300</v>
      </c>
      <c r="L1874">
        <v>10</v>
      </c>
      <c r="M1874">
        <v>113000</v>
      </c>
      <c r="N1874" t="s">
        <v>18</v>
      </c>
    </row>
    <row r="1875" spans="5:14" x14ac:dyDescent="0.35">
      <c r="E1875" t="s">
        <v>62</v>
      </c>
      <c r="F1875" t="s">
        <v>44</v>
      </c>
      <c r="G1875" t="s">
        <v>42</v>
      </c>
      <c r="H1875" t="s">
        <v>13</v>
      </c>
      <c r="I1875" t="s">
        <v>14</v>
      </c>
      <c r="J1875" t="s">
        <v>17</v>
      </c>
      <c r="K1875">
        <v>14734</v>
      </c>
      <c r="L1875">
        <v>20</v>
      </c>
      <c r="M1875">
        <v>294680</v>
      </c>
      <c r="N1875" t="s">
        <v>21</v>
      </c>
    </row>
    <row r="1876" spans="5:14" x14ac:dyDescent="0.35">
      <c r="E1876" t="s">
        <v>62</v>
      </c>
      <c r="F1876" t="s">
        <v>44</v>
      </c>
      <c r="G1876" t="s">
        <v>42</v>
      </c>
      <c r="H1876" t="s">
        <v>13</v>
      </c>
      <c r="I1876" t="s">
        <v>14</v>
      </c>
      <c r="J1876" t="s">
        <v>19</v>
      </c>
      <c r="K1876">
        <v>17573</v>
      </c>
      <c r="L1876">
        <v>30</v>
      </c>
      <c r="M1876">
        <v>527190</v>
      </c>
      <c r="N1876" t="s">
        <v>21</v>
      </c>
    </row>
    <row r="1877" spans="5:14" x14ac:dyDescent="0.35">
      <c r="E1877" t="s">
        <v>62</v>
      </c>
      <c r="F1877" t="s">
        <v>44</v>
      </c>
      <c r="G1877" t="s">
        <v>42</v>
      </c>
      <c r="H1877" t="s">
        <v>13</v>
      </c>
      <c r="I1877" t="s">
        <v>14</v>
      </c>
      <c r="J1877" t="s">
        <v>20</v>
      </c>
      <c r="K1877">
        <v>16035</v>
      </c>
      <c r="L1877">
        <v>15</v>
      </c>
      <c r="M1877">
        <v>240525</v>
      </c>
      <c r="N1877" t="s">
        <v>21</v>
      </c>
    </row>
    <row r="1878" spans="5:14" x14ac:dyDescent="0.35">
      <c r="E1878" t="s">
        <v>62</v>
      </c>
      <c r="F1878" t="s">
        <v>44</v>
      </c>
      <c r="G1878" t="s">
        <v>42</v>
      </c>
      <c r="H1878" t="s">
        <v>22</v>
      </c>
      <c r="I1878" t="s">
        <v>23</v>
      </c>
      <c r="J1878" t="s">
        <v>24</v>
      </c>
      <c r="K1878">
        <v>19848</v>
      </c>
      <c r="L1878">
        <v>2</v>
      </c>
      <c r="M1878">
        <v>39696</v>
      </c>
      <c r="N1878" t="s">
        <v>18</v>
      </c>
    </row>
    <row r="1879" spans="5:14" x14ac:dyDescent="0.35">
      <c r="E1879" t="s">
        <v>62</v>
      </c>
      <c r="F1879" t="s">
        <v>44</v>
      </c>
      <c r="G1879" t="s">
        <v>42</v>
      </c>
      <c r="H1879" t="s">
        <v>22</v>
      </c>
      <c r="I1879" t="s">
        <v>23</v>
      </c>
      <c r="J1879" t="s">
        <v>25</v>
      </c>
      <c r="K1879">
        <v>10843</v>
      </c>
      <c r="L1879">
        <v>2</v>
      </c>
      <c r="M1879">
        <v>21686</v>
      </c>
      <c r="N1879" t="s">
        <v>21</v>
      </c>
    </row>
    <row r="1880" spans="5:14" x14ac:dyDescent="0.35">
      <c r="E1880" t="s">
        <v>62</v>
      </c>
      <c r="F1880" t="s">
        <v>44</v>
      </c>
      <c r="G1880" t="s">
        <v>42</v>
      </c>
      <c r="H1880" t="s">
        <v>22</v>
      </c>
      <c r="I1880" t="s">
        <v>23</v>
      </c>
      <c r="J1880" t="s">
        <v>26</v>
      </c>
      <c r="K1880">
        <v>10722</v>
      </c>
      <c r="L1880">
        <v>5</v>
      </c>
      <c r="M1880">
        <v>53610</v>
      </c>
      <c r="N1880" t="s">
        <v>21</v>
      </c>
    </row>
    <row r="1881" spans="5:14" x14ac:dyDescent="0.35">
      <c r="E1881" t="s">
        <v>62</v>
      </c>
      <c r="F1881" t="s">
        <v>44</v>
      </c>
      <c r="G1881" t="s">
        <v>42</v>
      </c>
      <c r="H1881" t="s">
        <v>22</v>
      </c>
      <c r="I1881" t="s">
        <v>27</v>
      </c>
      <c r="J1881" t="s">
        <v>28</v>
      </c>
      <c r="K1881">
        <v>13956</v>
      </c>
      <c r="L1881">
        <v>3</v>
      </c>
      <c r="M1881">
        <v>41868</v>
      </c>
      <c r="N1881" t="s">
        <v>21</v>
      </c>
    </row>
    <row r="1882" spans="5:14" x14ac:dyDescent="0.35">
      <c r="E1882" t="s">
        <v>62</v>
      </c>
      <c r="F1882" t="s">
        <v>45</v>
      </c>
      <c r="G1882" t="s">
        <v>42</v>
      </c>
      <c r="H1882" t="s">
        <v>13</v>
      </c>
      <c r="I1882" t="s">
        <v>14</v>
      </c>
      <c r="J1882" t="s">
        <v>15</v>
      </c>
      <c r="K1882">
        <v>15077</v>
      </c>
      <c r="L1882">
        <v>10</v>
      </c>
      <c r="M1882">
        <v>150770</v>
      </c>
      <c r="N1882" t="s">
        <v>21</v>
      </c>
    </row>
    <row r="1883" spans="5:14" x14ac:dyDescent="0.35">
      <c r="E1883" t="s">
        <v>62</v>
      </c>
      <c r="F1883" t="s">
        <v>45</v>
      </c>
      <c r="G1883" t="s">
        <v>42</v>
      </c>
      <c r="H1883" t="s">
        <v>13</v>
      </c>
      <c r="I1883" t="s">
        <v>14</v>
      </c>
      <c r="J1883" t="s">
        <v>17</v>
      </c>
      <c r="K1883">
        <v>19952</v>
      </c>
      <c r="L1883">
        <v>20</v>
      </c>
      <c r="M1883">
        <v>399040</v>
      </c>
      <c r="N1883" t="s">
        <v>16</v>
      </c>
    </row>
    <row r="1884" spans="5:14" x14ac:dyDescent="0.35">
      <c r="E1884" t="s">
        <v>62</v>
      </c>
      <c r="F1884" t="s">
        <v>45</v>
      </c>
      <c r="G1884" t="s">
        <v>42</v>
      </c>
      <c r="H1884" t="s">
        <v>13</v>
      </c>
      <c r="I1884" t="s">
        <v>14</v>
      </c>
      <c r="J1884" t="s">
        <v>19</v>
      </c>
      <c r="K1884">
        <v>12346</v>
      </c>
      <c r="L1884">
        <v>30</v>
      </c>
      <c r="M1884">
        <v>370380</v>
      </c>
      <c r="N1884" t="s">
        <v>18</v>
      </c>
    </row>
    <row r="1885" spans="5:14" x14ac:dyDescent="0.35">
      <c r="E1885" t="s">
        <v>62</v>
      </c>
      <c r="F1885" t="s">
        <v>45</v>
      </c>
      <c r="G1885" t="s">
        <v>42</v>
      </c>
      <c r="H1885" t="s">
        <v>13</v>
      </c>
      <c r="I1885" t="s">
        <v>14</v>
      </c>
      <c r="J1885" t="s">
        <v>20</v>
      </c>
      <c r="K1885">
        <v>20257</v>
      </c>
      <c r="L1885">
        <v>15</v>
      </c>
      <c r="M1885">
        <v>303855</v>
      </c>
      <c r="N1885" t="s">
        <v>21</v>
      </c>
    </row>
    <row r="1886" spans="5:14" x14ac:dyDescent="0.35">
      <c r="E1886" t="s">
        <v>62</v>
      </c>
      <c r="F1886" t="s">
        <v>45</v>
      </c>
      <c r="G1886" t="s">
        <v>42</v>
      </c>
      <c r="H1886" t="s">
        <v>22</v>
      </c>
      <c r="I1886" t="s">
        <v>23</v>
      </c>
      <c r="J1886" t="s">
        <v>24</v>
      </c>
      <c r="K1886">
        <v>8684</v>
      </c>
      <c r="L1886">
        <v>2</v>
      </c>
      <c r="M1886">
        <v>17368</v>
      </c>
      <c r="N1886" t="s">
        <v>21</v>
      </c>
    </row>
    <row r="1887" spans="5:14" x14ac:dyDescent="0.35">
      <c r="E1887" t="s">
        <v>62</v>
      </c>
      <c r="F1887" t="s">
        <v>45</v>
      </c>
      <c r="G1887" t="s">
        <v>42</v>
      </c>
      <c r="H1887" t="s">
        <v>22</v>
      </c>
      <c r="I1887" t="s">
        <v>23</v>
      </c>
      <c r="J1887" t="s">
        <v>25</v>
      </c>
      <c r="K1887">
        <v>8123</v>
      </c>
      <c r="L1887">
        <v>2</v>
      </c>
      <c r="M1887">
        <v>16246</v>
      </c>
      <c r="N1887" t="s">
        <v>18</v>
      </c>
    </row>
    <row r="1888" spans="5:14" x14ac:dyDescent="0.35">
      <c r="E1888" t="s">
        <v>62</v>
      </c>
      <c r="F1888" t="s">
        <v>45</v>
      </c>
      <c r="G1888" t="s">
        <v>42</v>
      </c>
      <c r="H1888" t="s">
        <v>22</v>
      </c>
      <c r="I1888" t="s">
        <v>23</v>
      </c>
      <c r="J1888" t="s">
        <v>26</v>
      </c>
      <c r="K1888">
        <v>13628</v>
      </c>
      <c r="L1888">
        <v>5</v>
      </c>
      <c r="M1888">
        <v>68140</v>
      </c>
      <c r="N1888" t="s">
        <v>18</v>
      </c>
    </row>
    <row r="1889" spans="5:14" x14ac:dyDescent="0.35">
      <c r="E1889" t="s">
        <v>62</v>
      </c>
      <c r="F1889" t="s">
        <v>45</v>
      </c>
      <c r="G1889" t="s">
        <v>42</v>
      </c>
      <c r="H1889" t="s">
        <v>22</v>
      </c>
      <c r="I1889" t="s">
        <v>27</v>
      </c>
      <c r="J1889" t="s">
        <v>28</v>
      </c>
      <c r="K1889">
        <v>21151</v>
      </c>
      <c r="L1889">
        <v>3</v>
      </c>
      <c r="M1889">
        <v>63453</v>
      </c>
      <c r="N1889" t="s">
        <v>21</v>
      </c>
    </row>
    <row r="1890" spans="5:14" x14ac:dyDescent="0.35">
      <c r="E1890" t="s">
        <v>62</v>
      </c>
      <c r="F1890" t="s">
        <v>46</v>
      </c>
      <c r="G1890" t="s">
        <v>42</v>
      </c>
      <c r="H1890" t="s">
        <v>13</v>
      </c>
      <c r="I1890" t="s">
        <v>14</v>
      </c>
      <c r="J1890" t="s">
        <v>15</v>
      </c>
      <c r="K1890">
        <v>10864</v>
      </c>
      <c r="L1890">
        <v>10</v>
      </c>
      <c r="M1890">
        <v>108640</v>
      </c>
      <c r="N1890" t="s">
        <v>21</v>
      </c>
    </row>
    <row r="1891" spans="5:14" x14ac:dyDescent="0.35">
      <c r="E1891" t="s">
        <v>62</v>
      </c>
      <c r="F1891" t="s">
        <v>46</v>
      </c>
      <c r="G1891" t="s">
        <v>42</v>
      </c>
      <c r="H1891" t="s">
        <v>13</v>
      </c>
      <c r="I1891" t="s">
        <v>14</v>
      </c>
      <c r="J1891" t="s">
        <v>17</v>
      </c>
      <c r="K1891">
        <v>11531</v>
      </c>
      <c r="L1891">
        <v>20</v>
      </c>
      <c r="M1891">
        <v>230620</v>
      </c>
      <c r="N1891" t="s">
        <v>16</v>
      </c>
    </row>
    <row r="1892" spans="5:14" x14ac:dyDescent="0.35">
      <c r="E1892" t="s">
        <v>62</v>
      </c>
      <c r="F1892" t="s">
        <v>46</v>
      </c>
      <c r="G1892" t="s">
        <v>42</v>
      </c>
      <c r="H1892" t="s">
        <v>13</v>
      </c>
      <c r="I1892" t="s">
        <v>14</v>
      </c>
      <c r="J1892" t="s">
        <v>19</v>
      </c>
      <c r="K1892">
        <v>12529</v>
      </c>
      <c r="L1892">
        <v>30</v>
      </c>
      <c r="M1892">
        <v>375870</v>
      </c>
      <c r="N1892" t="s">
        <v>16</v>
      </c>
    </row>
    <row r="1893" spans="5:14" x14ac:dyDescent="0.35">
      <c r="E1893" t="s">
        <v>62</v>
      </c>
      <c r="F1893" t="s">
        <v>46</v>
      </c>
      <c r="G1893" t="s">
        <v>42</v>
      </c>
      <c r="H1893" t="s">
        <v>13</v>
      </c>
      <c r="I1893" t="s">
        <v>14</v>
      </c>
      <c r="J1893" t="s">
        <v>20</v>
      </c>
      <c r="K1893">
        <v>12980</v>
      </c>
      <c r="L1893">
        <v>15</v>
      </c>
      <c r="M1893">
        <v>194700</v>
      </c>
      <c r="N1893" t="s">
        <v>21</v>
      </c>
    </row>
    <row r="1894" spans="5:14" x14ac:dyDescent="0.35">
      <c r="E1894" t="s">
        <v>62</v>
      </c>
      <c r="F1894" t="s">
        <v>46</v>
      </c>
      <c r="G1894" t="s">
        <v>42</v>
      </c>
      <c r="H1894" t="s">
        <v>22</v>
      </c>
      <c r="I1894" t="s">
        <v>23</v>
      </c>
      <c r="J1894" t="s">
        <v>24</v>
      </c>
      <c r="K1894">
        <v>15053</v>
      </c>
      <c r="L1894">
        <v>2</v>
      </c>
      <c r="M1894">
        <v>30106</v>
      </c>
      <c r="N1894" t="s">
        <v>18</v>
      </c>
    </row>
    <row r="1895" spans="5:14" x14ac:dyDescent="0.35">
      <c r="E1895" t="s">
        <v>62</v>
      </c>
      <c r="F1895" t="s">
        <v>46</v>
      </c>
      <c r="G1895" t="s">
        <v>42</v>
      </c>
      <c r="H1895" t="s">
        <v>22</v>
      </c>
      <c r="I1895" t="s">
        <v>23</v>
      </c>
      <c r="J1895" t="s">
        <v>25</v>
      </c>
      <c r="K1895">
        <v>14342</v>
      </c>
      <c r="L1895">
        <v>2</v>
      </c>
      <c r="M1895">
        <v>28684</v>
      </c>
      <c r="N1895" t="s">
        <v>16</v>
      </c>
    </row>
    <row r="1896" spans="5:14" x14ac:dyDescent="0.35">
      <c r="E1896" t="s">
        <v>62</v>
      </c>
      <c r="F1896" t="s">
        <v>46</v>
      </c>
      <c r="G1896" t="s">
        <v>42</v>
      </c>
      <c r="H1896" t="s">
        <v>22</v>
      </c>
      <c r="I1896" t="s">
        <v>23</v>
      </c>
      <c r="J1896" t="s">
        <v>26</v>
      </c>
      <c r="K1896">
        <v>18825</v>
      </c>
      <c r="L1896">
        <v>5</v>
      </c>
      <c r="M1896">
        <v>94125</v>
      </c>
      <c r="N1896" t="s">
        <v>18</v>
      </c>
    </row>
    <row r="1897" spans="5:14" x14ac:dyDescent="0.35">
      <c r="E1897" t="s">
        <v>62</v>
      </c>
      <c r="F1897" t="s">
        <v>46</v>
      </c>
      <c r="G1897" t="s">
        <v>42</v>
      </c>
      <c r="H1897" t="s">
        <v>22</v>
      </c>
      <c r="I1897" t="s">
        <v>27</v>
      </c>
      <c r="J1897" t="s">
        <v>28</v>
      </c>
      <c r="K1897">
        <v>22989</v>
      </c>
      <c r="L1897">
        <v>3</v>
      </c>
      <c r="M1897">
        <v>68967</v>
      </c>
      <c r="N1897" t="s">
        <v>18</v>
      </c>
    </row>
    <row r="1898" spans="5:14" x14ac:dyDescent="0.35">
      <c r="E1898" t="s">
        <v>62</v>
      </c>
      <c r="F1898" t="s">
        <v>47</v>
      </c>
      <c r="G1898" t="s">
        <v>48</v>
      </c>
      <c r="H1898" t="s">
        <v>13</v>
      </c>
      <c r="I1898" t="s">
        <v>14</v>
      </c>
      <c r="J1898" t="s">
        <v>15</v>
      </c>
      <c r="K1898">
        <v>16035</v>
      </c>
      <c r="L1898">
        <v>10</v>
      </c>
      <c r="M1898">
        <v>160350</v>
      </c>
      <c r="N1898" t="s">
        <v>21</v>
      </c>
    </row>
    <row r="1899" spans="5:14" x14ac:dyDescent="0.35">
      <c r="E1899" t="s">
        <v>62</v>
      </c>
      <c r="F1899" t="s">
        <v>47</v>
      </c>
      <c r="G1899" t="s">
        <v>48</v>
      </c>
      <c r="H1899" t="s">
        <v>13</v>
      </c>
      <c r="I1899" t="s">
        <v>14</v>
      </c>
      <c r="J1899" t="s">
        <v>17</v>
      </c>
      <c r="K1899">
        <v>16836</v>
      </c>
      <c r="L1899">
        <v>20</v>
      </c>
      <c r="M1899">
        <v>336720</v>
      </c>
      <c r="N1899" t="s">
        <v>16</v>
      </c>
    </row>
    <row r="1900" spans="5:14" x14ac:dyDescent="0.35">
      <c r="E1900" t="s">
        <v>62</v>
      </c>
      <c r="F1900" t="s">
        <v>47</v>
      </c>
      <c r="G1900" t="s">
        <v>48</v>
      </c>
      <c r="H1900" t="s">
        <v>13</v>
      </c>
      <c r="I1900" t="s">
        <v>14</v>
      </c>
      <c r="J1900" t="s">
        <v>19</v>
      </c>
      <c r="K1900">
        <v>8658</v>
      </c>
      <c r="L1900">
        <v>30</v>
      </c>
      <c r="M1900">
        <v>259740</v>
      </c>
      <c r="N1900" t="s">
        <v>21</v>
      </c>
    </row>
    <row r="1901" spans="5:14" x14ac:dyDescent="0.35">
      <c r="E1901" t="s">
        <v>62</v>
      </c>
      <c r="F1901" t="s">
        <v>47</v>
      </c>
      <c r="G1901" t="s">
        <v>48</v>
      </c>
      <c r="H1901" t="s">
        <v>13</v>
      </c>
      <c r="I1901" t="s">
        <v>14</v>
      </c>
      <c r="J1901" t="s">
        <v>20</v>
      </c>
      <c r="K1901">
        <v>8790</v>
      </c>
      <c r="L1901">
        <v>15</v>
      </c>
      <c r="M1901">
        <v>131850</v>
      </c>
      <c r="N1901" t="s">
        <v>18</v>
      </c>
    </row>
    <row r="1902" spans="5:14" x14ac:dyDescent="0.35">
      <c r="E1902" t="s">
        <v>62</v>
      </c>
      <c r="F1902" t="s">
        <v>47</v>
      </c>
      <c r="G1902" t="s">
        <v>48</v>
      </c>
      <c r="H1902" t="s">
        <v>22</v>
      </c>
      <c r="I1902" t="s">
        <v>23</v>
      </c>
      <c r="J1902" t="s">
        <v>24</v>
      </c>
      <c r="K1902">
        <v>9421</v>
      </c>
      <c r="L1902">
        <v>2</v>
      </c>
      <c r="M1902">
        <v>18842</v>
      </c>
      <c r="N1902" t="s">
        <v>18</v>
      </c>
    </row>
    <row r="1903" spans="5:14" x14ac:dyDescent="0.35">
      <c r="E1903" t="s">
        <v>62</v>
      </c>
      <c r="F1903" t="s">
        <v>47</v>
      </c>
      <c r="G1903" t="s">
        <v>48</v>
      </c>
      <c r="H1903" t="s">
        <v>22</v>
      </c>
      <c r="I1903" t="s">
        <v>23</v>
      </c>
      <c r="J1903" t="s">
        <v>25</v>
      </c>
      <c r="K1903">
        <v>17092</v>
      </c>
      <c r="L1903">
        <v>2</v>
      </c>
      <c r="M1903">
        <v>34184</v>
      </c>
      <c r="N1903" t="s">
        <v>18</v>
      </c>
    </row>
    <row r="1904" spans="5:14" x14ac:dyDescent="0.35">
      <c r="E1904" t="s">
        <v>62</v>
      </c>
      <c r="F1904" t="s">
        <v>47</v>
      </c>
      <c r="G1904" t="s">
        <v>48</v>
      </c>
      <c r="H1904" t="s">
        <v>22</v>
      </c>
      <c r="I1904" t="s">
        <v>23</v>
      </c>
      <c r="J1904" t="s">
        <v>26</v>
      </c>
      <c r="K1904">
        <v>11047</v>
      </c>
      <c r="L1904">
        <v>5</v>
      </c>
      <c r="M1904">
        <v>55235</v>
      </c>
      <c r="N1904" t="s">
        <v>21</v>
      </c>
    </row>
    <row r="1905" spans="5:14" x14ac:dyDescent="0.35">
      <c r="E1905" t="s">
        <v>62</v>
      </c>
      <c r="F1905" t="s">
        <v>47</v>
      </c>
      <c r="G1905" t="s">
        <v>48</v>
      </c>
      <c r="H1905" t="s">
        <v>22</v>
      </c>
      <c r="I1905" t="s">
        <v>27</v>
      </c>
      <c r="J1905" t="s">
        <v>28</v>
      </c>
      <c r="K1905">
        <v>16682</v>
      </c>
      <c r="L1905">
        <v>3</v>
      </c>
      <c r="M1905">
        <v>50046</v>
      </c>
      <c r="N1905" t="s">
        <v>16</v>
      </c>
    </row>
    <row r="1906" spans="5:14" x14ac:dyDescent="0.35">
      <c r="E1906" t="s">
        <v>62</v>
      </c>
      <c r="F1906" t="s">
        <v>49</v>
      </c>
      <c r="G1906" t="s">
        <v>48</v>
      </c>
      <c r="H1906" t="s">
        <v>13</v>
      </c>
      <c r="I1906" t="s">
        <v>14</v>
      </c>
      <c r="J1906" t="s">
        <v>15</v>
      </c>
      <c r="K1906">
        <v>8635</v>
      </c>
      <c r="L1906">
        <v>10</v>
      </c>
      <c r="M1906">
        <v>86350</v>
      </c>
      <c r="N1906" t="s">
        <v>16</v>
      </c>
    </row>
    <row r="1907" spans="5:14" x14ac:dyDescent="0.35">
      <c r="E1907" t="s">
        <v>62</v>
      </c>
      <c r="F1907" t="s">
        <v>49</v>
      </c>
      <c r="G1907" t="s">
        <v>48</v>
      </c>
      <c r="H1907" t="s">
        <v>13</v>
      </c>
      <c r="I1907" t="s">
        <v>14</v>
      </c>
      <c r="J1907" t="s">
        <v>17</v>
      </c>
      <c r="K1907">
        <v>17634</v>
      </c>
      <c r="L1907">
        <v>20</v>
      </c>
      <c r="M1907">
        <v>352680</v>
      </c>
      <c r="N1907" t="s">
        <v>18</v>
      </c>
    </row>
    <row r="1908" spans="5:14" x14ac:dyDescent="0.35">
      <c r="E1908" t="s">
        <v>62</v>
      </c>
      <c r="F1908" t="s">
        <v>49</v>
      </c>
      <c r="G1908" t="s">
        <v>48</v>
      </c>
      <c r="H1908" t="s">
        <v>13</v>
      </c>
      <c r="I1908" t="s">
        <v>14</v>
      </c>
      <c r="J1908" t="s">
        <v>19</v>
      </c>
      <c r="K1908">
        <v>10971</v>
      </c>
      <c r="L1908">
        <v>30</v>
      </c>
      <c r="M1908">
        <v>329130</v>
      </c>
      <c r="N1908" t="s">
        <v>18</v>
      </c>
    </row>
    <row r="1909" spans="5:14" x14ac:dyDescent="0.35">
      <c r="E1909" t="s">
        <v>62</v>
      </c>
      <c r="F1909" t="s">
        <v>49</v>
      </c>
      <c r="G1909" t="s">
        <v>48</v>
      </c>
      <c r="H1909" t="s">
        <v>13</v>
      </c>
      <c r="I1909" t="s">
        <v>14</v>
      </c>
      <c r="J1909" t="s">
        <v>20</v>
      </c>
      <c r="K1909">
        <v>7329</v>
      </c>
      <c r="L1909">
        <v>15</v>
      </c>
      <c r="M1909">
        <v>109935</v>
      </c>
      <c r="N1909" t="s">
        <v>18</v>
      </c>
    </row>
    <row r="1910" spans="5:14" x14ac:dyDescent="0.35">
      <c r="E1910" t="s">
        <v>62</v>
      </c>
      <c r="F1910" t="s">
        <v>49</v>
      </c>
      <c r="G1910" t="s">
        <v>48</v>
      </c>
      <c r="H1910" t="s">
        <v>22</v>
      </c>
      <c r="I1910" t="s">
        <v>23</v>
      </c>
      <c r="J1910" t="s">
        <v>24</v>
      </c>
      <c r="K1910">
        <v>13322</v>
      </c>
      <c r="L1910">
        <v>2</v>
      </c>
      <c r="M1910">
        <v>26644</v>
      </c>
      <c r="N1910" t="s">
        <v>18</v>
      </c>
    </row>
    <row r="1911" spans="5:14" x14ac:dyDescent="0.35">
      <c r="E1911" t="s">
        <v>62</v>
      </c>
      <c r="F1911" t="s">
        <v>49</v>
      </c>
      <c r="G1911" t="s">
        <v>48</v>
      </c>
      <c r="H1911" t="s">
        <v>22</v>
      </c>
      <c r="I1911" t="s">
        <v>23</v>
      </c>
      <c r="J1911" t="s">
        <v>25</v>
      </c>
      <c r="K1911">
        <v>16070</v>
      </c>
      <c r="L1911">
        <v>2</v>
      </c>
      <c r="M1911">
        <v>32140</v>
      </c>
      <c r="N1911" t="s">
        <v>18</v>
      </c>
    </row>
    <row r="1912" spans="5:14" x14ac:dyDescent="0.35">
      <c r="E1912" t="s">
        <v>62</v>
      </c>
      <c r="F1912" t="s">
        <v>49</v>
      </c>
      <c r="G1912" t="s">
        <v>48</v>
      </c>
      <c r="H1912" t="s">
        <v>22</v>
      </c>
      <c r="I1912" t="s">
        <v>23</v>
      </c>
      <c r="J1912" t="s">
        <v>26</v>
      </c>
      <c r="K1912">
        <v>8633</v>
      </c>
      <c r="L1912">
        <v>5</v>
      </c>
      <c r="M1912">
        <v>43165</v>
      </c>
      <c r="N1912" t="s">
        <v>18</v>
      </c>
    </row>
    <row r="1913" spans="5:14" x14ac:dyDescent="0.35">
      <c r="E1913" t="s">
        <v>62</v>
      </c>
      <c r="F1913" t="s">
        <v>49</v>
      </c>
      <c r="G1913" t="s">
        <v>48</v>
      </c>
      <c r="H1913" t="s">
        <v>22</v>
      </c>
      <c r="I1913" t="s">
        <v>27</v>
      </c>
      <c r="J1913" t="s">
        <v>28</v>
      </c>
      <c r="K1913">
        <v>21884</v>
      </c>
      <c r="L1913">
        <v>3</v>
      </c>
      <c r="M1913">
        <v>65652</v>
      </c>
      <c r="N1913" t="s">
        <v>21</v>
      </c>
    </row>
    <row r="1914" spans="5:14" x14ac:dyDescent="0.35">
      <c r="E1914" t="s">
        <v>62</v>
      </c>
      <c r="F1914" t="s">
        <v>50</v>
      </c>
      <c r="G1914" t="s">
        <v>48</v>
      </c>
      <c r="H1914" t="s">
        <v>13</v>
      </c>
      <c r="I1914" t="s">
        <v>14</v>
      </c>
      <c r="J1914" t="s">
        <v>15</v>
      </c>
      <c r="K1914">
        <v>18368</v>
      </c>
      <c r="L1914">
        <v>10</v>
      </c>
      <c r="M1914">
        <v>183680</v>
      </c>
      <c r="N1914" t="s">
        <v>18</v>
      </c>
    </row>
    <row r="1915" spans="5:14" x14ac:dyDescent="0.35">
      <c r="E1915" t="s">
        <v>62</v>
      </c>
      <c r="F1915" t="s">
        <v>50</v>
      </c>
      <c r="G1915" t="s">
        <v>48</v>
      </c>
      <c r="H1915" t="s">
        <v>13</v>
      </c>
      <c r="I1915" t="s">
        <v>14</v>
      </c>
      <c r="J1915" t="s">
        <v>17</v>
      </c>
      <c r="K1915">
        <v>13836</v>
      </c>
      <c r="L1915">
        <v>20</v>
      </c>
      <c r="M1915">
        <v>276720</v>
      </c>
      <c r="N1915" t="s">
        <v>21</v>
      </c>
    </row>
    <row r="1916" spans="5:14" x14ac:dyDescent="0.35">
      <c r="E1916" t="s">
        <v>62</v>
      </c>
      <c r="F1916" t="s">
        <v>50</v>
      </c>
      <c r="G1916" t="s">
        <v>48</v>
      </c>
      <c r="H1916" t="s">
        <v>13</v>
      </c>
      <c r="I1916" t="s">
        <v>14</v>
      </c>
      <c r="J1916" t="s">
        <v>19</v>
      </c>
      <c r="K1916">
        <v>10111</v>
      </c>
      <c r="L1916">
        <v>30</v>
      </c>
      <c r="M1916">
        <v>303330</v>
      </c>
      <c r="N1916" t="s">
        <v>18</v>
      </c>
    </row>
    <row r="1917" spans="5:14" x14ac:dyDescent="0.35">
      <c r="E1917" t="s">
        <v>62</v>
      </c>
      <c r="F1917" t="s">
        <v>50</v>
      </c>
      <c r="G1917" t="s">
        <v>48</v>
      </c>
      <c r="H1917" t="s">
        <v>13</v>
      </c>
      <c r="I1917" t="s">
        <v>14</v>
      </c>
      <c r="J1917" t="s">
        <v>20</v>
      </c>
      <c r="K1917">
        <v>22014</v>
      </c>
      <c r="L1917">
        <v>15</v>
      </c>
      <c r="M1917">
        <v>330210</v>
      </c>
      <c r="N1917" t="s">
        <v>16</v>
      </c>
    </row>
    <row r="1918" spans="5:14" x14ac:dyDescent="0.35">
      <c r="E1918" t="s">
        <v>62</v>
      </c>
      <c r="F1918" t="s">
        <v>50</v>
      </c>
      <c r="G1918" t="s">
        <v>48</v>
      </c>
      <c r="H1918" t="s">
        <v>22</v>
      </c>
      <c r="I1918" t="s">
        <v>23</v>
      </c>
      <c r="J1918" t="s">
        <v>24</v>
      </c>
      <c r="K1918">
        <v>19336</v>
      </c>
      <c r="L1918">
        <v>2</v>
      </c>
      <c r="M1918">
        <v>38672</v>
      </c>
      <c r="N1918" t="s">
        <v>16</v>
      </c>
    </row>
    <row r="1919" spans="5:14" x14ac:dyDescent="0.35">
      <c r="E1919" t="s">
        <v>62</v>
      </c>
      <c r="F1919" t="s">
        <v>50</v>
      </c>
      <c r="G1919" t="s">
        <v>48</v>
      </c>
      <c r="H1919" t="s">
        <v>22</v>
      </c>
      <c r="I1919" t="s">
        <v>23</v>
      </c>
      <c r="J1919" t="s">
        <v>25</v>
      </c>
      <c r="K1919">
        <v>13963</v>
      </c>
      <c r="L1919">
        <v>2</v>
      </c>
      <c r="M1919">
        <v>27926</v>
      </c>
      <c r="N1919" t="s">
        <v>21</v>
      </c>
    </row>
    <row r="1920" spans="5:14" x14ac:dyDescent="0.35">
      <c r="E1920" t="s">
        <v>62</v>
      </c>
      <c r="F1920" t="s">
        <v>50</v>
      </c>
      <c r="G1920" t="s">
        <v>48</v>
      </c>
      <c r="H1920" t="s">
        <v>22</v>
      </c>
      <c r="I1920" t="s">
        <v>23</v>
      </c>
      <c r="J1920" t="s">
        <v>26</v>
      </c>
      <c r="K1920">
        <v>7343</v>
      </c>
      <c r="L1920">
        <v>5</v>
      </c>
      <c r="M1920">
        <v>36715</v>
      </c>
      <c r="N1920" t="s">
        <v>18</v>
      </c>
    </row>
    <row r="1921" spans="5:14" x14ac:dyDescent="0.35">
      <c r="E1921" t="s">
        <v>62</v>
      </c>
      <c r="F1921" t="s">
        <v>50</v>
      </c>
      <c r="G1921" t="s">
        <v>48</v>
      </c>
      <c r="H1921" t="s">
        <v>22</v>
      </c>
      <c r="I1921" t="s">
        <v>27</v>
      </c>
      <c r="J1921" t="s">
        <v>28</v>
      </c>
      <c r="K1921">
        <v>20774</v>
      </c>
      <c r="L1921">
        <v>3</v>
      </c>
      <c r="M1921">
        <v>62322</v>
      </c>
      <c r="N1921" t="s">
        <v>16</v>
      </c>
    </row>
    <row r="1922" spans="5:14" x14ac:dyDescent="0.35">
      <c r="E1922" t="s">
        <v>62</v>
      </c>
      <c r="F1922" t="s">
        <v>51</v>
      </c>
      <c r="G1922" t="s">
        <v>48</v>
      </c>
      <c r="H1922" t="s">
        <v>13</v>
      </c>
      <c r="I1922" t="s">
        <v>14</v>
      </c>
      <c r="J1922" t="s">
        <v>15</v>
      </c>
      <c r="K1922">
        <v>17795</v>
      </c>
      <c r="L1922">
        <v>10</v>
      </c>
      <c r="M1922">
        <v>177950</v>
      </c>
      <c r="N1922" t="s">
        <v>21</v>
      </c>
    </row>
    <row r="1923" spans="5:14" x14ac:dyDescent="0.35">
      <c r="E1923" t="s">
        <v>62</v>
      </c>
      <c r="F1923" t="s">
        <v>51</v>
      </c>
      <c r="G1923" t="s">
        <v>48</v>
      </c>
      <c r="H1923" t="s">
        <v>13</v>
      </c>
      <c r="I1923" t="s">
        <v>14</v>
      </c>
      <c r="J1923" t="s">
        <v>17</v>
      </c>
      <c r="K1923">
        <v>14494</v>
      </c>
      <c r="L1923">
        <v>20</v>
      </c>
      <c r="M1923">
        <v>289880</v>
      </c>
      <c r="N1923" t="s">
        <v>16</v>
      </c>
    </row>
    <row r="1924" spans="5:14" x14ac:dyDescent="0.35">
      <c r="E1924" t="s">
        <v>62</v>
      </c>
      <c r="F1924" t="s">
        <v>51</v>
      </c>
      <c r="G1924" t="s">
        <v>48</v>
      </c>
      <c r="H1924" t="s">
        <v>13</v>
      </c>
      <c r="I1924" t="s">
        <v>14</v>
      </c>
      <c r="J1924" t="s">
        <v>19</v>
      </c>
      <c r="K1924">
        <v>17946</v>
      </c>
      <c r="L1924">
        <v>30</v>
      </c>
      <c r="M1924">
        <v>538380</v>
      </c>
      <c r="N1924" t="s">
        <v>21</v>
      </c>
    </row>
    <row r="1925" spans="5:14" x14ac:dyDescent="0.35">
      <c r="E1925" t="s">
        <v>62</v>
      </c>
      <c r="F1925" t="s">
        <v>51</v>
      </c>
      <c r="G1925" t="s">
        <v>48</v>
      </c>
      <c r="H1925" t="s">
        <v>13</v>
      </c>
      <c r="I1925" t="s">
        <v>14</v>
      </c>
      <c r="J1925" t="s">
        <v>20</v>
      </c>
      <c r="K1925">
        <v>13865</v>
      </c>
      <c r="L1925">
        <v>15</v>
      </c>
      <c r="M1925">
        <v>207975</v>
      </c>
      <c r="N1925" t="s">
        <v>18</v>
      </c>
    </row>
    <row r="1926" spans="5:14" x14ac:dyDescent="0.35">
      <c r="E1926" t="s">
        <v>62</v>
      </c>
      <c r="F1926" t="s">
        <v>51</v>
      </c>
      <c r="G1926" t="s">
        <v>48</v>
      </c>
      <c r="H1926" t="s">
        <v>22</v>
      </c>
      <c r="I1926" t="s">
        <v>23</v>
      </c>
      <c r="J1926" t="s">
        <v>24</v>
      </c>
      <c r="K1926">
        <v>17377</v>
      </c>
      <c r="L1926">
        <v>2</v>
      </c>
      <c r="M1926">
        <v>34754</v>
      </c>
      <c r="N1926" t="s">
        <v>21</v>
      </c>
    </row>
    <row r="1927" spans="5:14" x14ac:dyDescent="0.35">
      <c r="E1927" t="s">
        <v>62</v>
      </c>
      <c r="F1927" t="s">
        <v>51</v>
      </c>
      <c r="G1927" t="s">
        <v>48</v>
      </c>
      <c r="H1927" t="s">
        <v>22</v>
      </c>
      <c r="I1927" t="s">
        <v>23</v>
      </c>
      <c r="J1927" t="s">
        <v>25</v>
      </c>
      <c r="K1927">
        <v>11608</v>
      </c>
      <c r="L1927">
        <v>2</v>
      </c>
      <c r="M1927">
        <v>23216</v>
      </c>
      <c r="N1927" t="s">
        <v>21</v>
      </c>
    </row>
    <row r="1928" spans="5:14" x14ac:dyDescent="0.35">
      <c r="E1928" t="s">
        <v>62</v>
      </c>
      <c r="F1928" t="s">
        <v>51</v>
      </c>
      <c r="G1928" t="s">
        <v>48</v>
      </c>
      <c r="H1928" t="s">
        <v>22</v>
      </c>
      <c r="I1928" t="s">
        <v>23</v>
      </c>
      <c r="J1928" t="s">
        <v>26</v>
      </c>
      <c r="K1928">
        <v>13086</v>
      </c>
      <c r="L1928">
        <v>5</v>
      </c>
      <c r="M1928">
        <v>65430</v>
      </c>
      <c r="N1928" t="s">
        <v>21</v>
      </c>
    </row>
    <row r="1929" spans="5:14" x14ac:dyDescent="0.35">
      <c r="E1929" t="s">
        <v>62</v>
      </c>
      <c r="F1929" t="s">
        <v>51</v>
      </c>
      <c r="G1929" t="s">
        <v>48</v>
      </c>
      <c r="H1929" t="s">
        <v>22</v>
      </c>
      <c r="I1929" t="s">
        <v>27</v>
      </c>
      <c r="J1929" t="s">
        <v>28</v>
      </c>
      <c r="K1929">
        <v>10725</v>
      </c>
      <c r="L1929">
        <v>3</v>
      </c>
      <c r="M1929">
        <v>32175</v>
      </c>
      <c r="N1929" t="s">
        <v>18</v>
      </c>
    </row>
    <row r="1930" spans="5:14" x14ac:dyDescent="0.35">
      <c r="E1930" t="s">
        <v>62</v>
      </c>
      <c r="F1930" t="s">
        <v>52</v>
      </c>
      <c r="G1930" t="s">
        <v>48</v>
      </c>
      <c r="H1930" t="s">
        <v>13</v>
      </c>
      <c r="I1930" t="s">
        <v>14</v>
      </c>
      <c r="J1930" t="s">
        <v>15</v>
      </c>
      <c r="K1930">
        <v>17517</v>
      </c>
      <c r="L1930">
        <v>10</v>
      </c>
      <c r="M1930">
        <v>175170</v>
      </c>
      <c r="N1930" t="s">
        <v>16</v>
      </c>
    </row>
    <row r="1931" spans="5:14" x14ac:dyDescent="0.35">
      <c r="E1931" t="s">
        <v>62</v>
      </c>
      <c r="F1931" t="s">
        <v>52</v>
      </c>
      <c r="G1931" t="s">
        <v>48</v>
      </c>
      <c r="H1931" t="s">
        <v>13</v>
      </c>
      <c r="I1931" t="s">
        <v>14</v>
      </c>
      <c r="J1931" t="s">
        <v>17</v>
      </c>
      <c r="K1931">
        <v>14618</v>
      </c>
      <c r="L1931">
        <v>20</v>
      </c>
      <c r="M1931">
        <v>292360</v>
      </c>
      <c r="N1931" t="s">
        <v>18</v>
      </c>
    </row>
    <row r="1932" spans="5:14" x14ac:dyDescent="0.35">
      <c r="E1932" t="s">
        <v>62</v>
      </c>
      <c r="F1932" t="s">
        <v>52</v>
      </c>
      <c r="G1932" t="s">
        <v>48</v>
      </c>
      <c r="H1932" t="s">
        <v>13</v>
      </c>
      <c r="I1932" t="s">
        <v>14</v>
      </c>
      <c r="J1932" t="s">
        <v>19</v>
      </c>
      <c r="K1932">
        <v>19788</v>
      </c>
      <c r="L1932">
        <v>30</v>
      </c>
      <c r="M1932">
        <v>593640</v>
      </c>
      <c r="N1932" t="s">
        <v>21</v>
      </c>
    </row>
    <row r="1933" spans="5:14" x14ac:dyDescent="0.35">
      <c r="E1933" t="s">
        <v>62</v>
      </c>
      <c r="F1933" t="s">
        <v>52</v>
      </c>
      <c r="G1933" t="s">
        <v>48</v>
      </c>
      <c r="H1933" t="s">
        <v>13</v>
      </c>
      <c r="I1933" t="s">
        <v>14</v>
      </c>
      <c r="J1933" t="s">
        <v>20</v>
      </c>
      <c r="K1933">
        <v>16416</v>
      </c>
      <c r="L1933">
        <v>15</v>
      </c>
      <c r="M1933">
        <v>246240</v>
      </c>
      <c r="N1933" t="s">
        <v>21</v>
      </c>
    </row>
    <row r="1934" spans="5:14" x14ac:dyDescent="0.35">
      <c r="E1934" t="s">
        <v>62</v>
      </c>
      <c r="F1934" t="s">
        <v>52</v>
      </c>
      <c r="G1934" t="s">
        <v>48</v>
      </c>
      <c r="H1934" t="s">
        <v>22</v>
      </c>
      <c r="I1934" t="s">
        <v>23</v>
      </c>
      <c r="J1934" t="s">
        <v>24</v>
      </c>
      <c r="K1934">
        <v>19899</v>
      </c>
      <c r="L1934">
        <v>2</v>
      </c>
      <c r="M1934">
        <v>39798</v>
      </c>
      <c r="N1934" t="s">
        <v>16</v>
      </c>
    </row>
    <row r="1935" spans="5:14" x14ac:dyDescent="0.35">
      <c r="E1935" t="s">
        <v>62</v>
      </c>
      <c r="F1935" t="s">
        <v>52</v>
      </c>
      <c r="G1935" t="s">
        <v>48</v>
      </c>
      <c r="H1935" t="s">
        <v>22</v>
      </c>
      <c r="I1935" t="s">
        <v>23</v>
      </c>
      <c r="J1935" t="s">
        <v>25</v>
      </c>
      <c r="K1935">
        <v>10299</v>
      </c>
      <c r="L1935">
        <v>2</v>
      </c>
      <c r="M1935">
        <v>20598</v>
      </c>
      <c r="N1935" t="s">
        <v>16</v>
      </c>
    </row>
    <row r="1936" spans="5:14" x14ac:dyDescent="0.35">
      <c r="E1936" t="s">
        <v>62</v>
      </c>
      <c r="F1936" t="s">
        <v>52</v>
      </c>
      <c r="G1936" t="s">
        <v>48</v>
      </c>
      <c r="H1936" t="s">
        <v>22</v>
      </c>
      <c r="I1936" t="s">
        <v>23</v>
      </c>
      <c r="J1936" t="s">
        <v>26</v>
      </c>
      <c r="K1936">
        <v>17258</v>
      </c>
      <c r="L1936">
        <v>5</v>
      </c>
      <c r="M1936">
        <v>86290</v>
      </c>
      <c r="N1936" t="s">
        <v>18</v>
      </c>
    </row>
    <row r="1937" spans="5:14" x14ac:dyDescent="0.35">
      <c r="E1937" t="s">
        <v>62</v>
      </c>
      <c r="F1937" t="s">
        <v>52</v>
      </c>
      <c r="G1937" t="s">
        <v>48</v>
      </c>
      <c r="H1937" t="s">
        <v>22</v>
      </c>
      <c r="I1937" t="s">
        <v>27</v>
      </c>
      <c r="J1937" t="s">
        <v>28</v>
      </c>
      <c r="K1937">
        <v>12522</v>
      </c>
      <c r="L1937">
        <v>3</v>
      </c>
      <c r="M1937">
        <v>37566</v>
      </c>
      <c r="N1937" t="s">
        <v>16</v>
      </c>
    </row>
    <row r="1938" spans="5:14" x14ac:dyDescent="0.35">
      <c r="E1938" t="s">
        <v>63</v>
      </c>
      <c r="F1938" t="s">
        <v>11</v>
      </c>
      <c r="G1938" t="s">
        <v>12</v>
      </c>
      <c r="H1938" t="s">
        <v>13</v>
      </c>
      <c r="I1938" t="s">
        <v>14</v>
      </c>
      <c r="J1938" t="s">
        <v>15</v>
      </c>
      <c r="K1938">
        <v>16159</v>
      </c>
      <c r="L1938">
        <v>10</v>
      </c>
      <c r="M1938">
        <v>161590</v>
      </c>
      <c r="N1938" t="s">
        <v>21</v>
      </c>
    </row>
    <row r="1939" spans="5:14" x14ac:dyDescent="0.35">
      <c r="E1939" t="s">
        <v>63</v>
      </c>
      <c r="F1939" t="s">
        <v>11</v>
      </c>
      <c r="G1939" t="s">
        <v>12</v>
      </c>
      <c r="H1939" t="s">
        <v>13</v>
      </c>
      <c r="I1939" t="s">
        <v>14</v>
      </c>
      <c r="J1939" t="s">
        <v>17</v>
      </c>
      <c r="K1939">
        <v>10031</v>
      </c>
      <c r="L1939">
        <v>20</v>
      </c>
      <c r="M1939">
        <v>200620</v>
      </c>
      <c r="N1939" t="s">
        <v>18</v>
      </c>
    </row>
    <row r="1940" spans="5:14" x14ac:dyDescent="0.35">
      <c r="E1940" t="s">
        <v>63</v>
      </c>
      <c r="F1940" t="s">
        <v>11</v>
      </c>
      <c r="G1940" t="s">
        <v>12</v>
      </c>
      <c r="H1940" t="s">
        <v>13</v>
      </c>
      <c r="I1940" t="s">
        <v>14</v>
      </c>
      <c r="J1940" t="s">
        <v>19</v>
      </c>
      <c r="K1940">
        <v>13567</v>
      </c>
      <c r="L1940">
        <v>30</v>
      </c>
      <c r="M1940">
        <v>407010</v>
      </c>
      <c r="N1940" t="s">
        <v>18</v>
      </c>
    </row>
    <row r="1941" spans="5:14" x14ac:dyDescent="0.35">
      <c r="E1941" t="s">
        <v>63</v>
      </c>
      <c r="F1941" t="s">
        <v>11</v>
      </c>
      <c r="G1941" t="s">
        <v>12</v>
      </c>
      <c r="H1941" t="s">
        <v>13</v>
      </c>
      <c r="I1941" t="s">
        <v>14</v>
      </c>
      <c r="J1941" t="s">
        <v>20</v>
      </c>
      <c r="K1941">
        <v>10264</v>
      </c>
      <c r="L1941">
        <v>15</v>
      </c>
      <c r="M1941">
        <v>153960</v>
      </c>
      <c r="N1941" t="s">
        <v>21</v>
      </c>
    </row>
    <row r="1942" spans="5:14" x14ac:dyDescent="0.35">
      <c r="E1942" t="s">
        <v>63</v>
      </c>
      <c r="F1942" t="s">
        <v>11</v>
      </c>
      <c r="G1942" t="s">
        <v>12</v>
      </c>
      <c r="H1942" t="s">
        <v>22</v>
      </c>
      <c r="I1942" t="s">
        <v>23</v>
      </c>
      <c r="J1942" t="s">
        <v>24</v>
      </c>
      <c r="K1942">
        <v>8596</v>
      </c>
      <c r="L1942">
        <v>2</v>
      </c>
      <c r="M1942">
        <v>17192</v>
      </c>
      <c r="N1942" t="s">
        <v>21</v>
      </c>
    </row>
    <row r="1943" spans="5:14" x14ac:dyDescent="0.35">
      <c r="E1943" t="s">
        <v>63</v>
      </c>
      <c r="F1943" t="s">
        <v>11</v>
      </c>
      <c r="G1943" t="s">
        <v>12</v>
      </c>
      <c r="H1943" t="s">
        <v>22</v>
      </c>
      <c r="I1943" t="s">
        <v>23</v>
      </c>
      <c r="J1943" t="s">
        <v>25</v>
      </c>
      <c r="K1943">
        <v>12659</v>
      </c>
      <c r="L1943">
        <v>2</v>
      </c>
      <c r="M1943">
        <v>25318</v>
      </c>
      <c r="N1943" t="s">
        <v>16</v>
      </c>
    </row>
    <row r="1944" spans="5:14" x14ac:dyDescent="0.35">
      <c r="E1944" t="s">
        <v>63</v>
      </c>
      <c r="F1944" t="s">
        <v>11</v>
      </c>
      <c r="G1944" t="s">
        <v>12</v>
      </c>
      <c r="H1944" t="s">
        <v>22</v>
      </c>
      <c r="I1944" t="s">
        <v>23</v>
      </c>
      <c r="J1944" t="s">
        <v>26</v>
      </c>
      <c r="K1944">
        <v>14987</v>
      </c>
      <c r="L1944">
        <v>5</v>
      </c>
      <c r="M1944">
        <v>74935</v>
      </c>
      <c r="N1944" t="s">
        <v>21</v>
      </c>
    </row>
    <row r="1945" spans="5:14" x14ac:dyDescent="0.35">
      <c r="E1945" t="s">
        <v>63</v>
      </c>
      <c r="F1945" t="s">
        <v>11</v>
      </c>
      <c r="G1945" t="s">
        <v>12</v>
      </c>
      <c r="H1945" t="s">
        <v>22</v>
      </c>
      <c r="I1945" t="s">
        <v>27</v>
      </c>
      <c r="J1945" t="s">
        <v>28</v>
      </c>
      <c r="K1945">
        <v>9297</v>
      </c>
      <c r="L1945">
        <v>3</v>
      </c>
      <c r="M1945">
        <v>27891</v>
      </c>
      <c r="N1945" t="s">
        <v>18</v>
      </c>
    </row>
    <row r="1946" spans="5:14" x14ac:dyDescent="0.35">
      <c r="E1946" t="s">
        <v>63</v>
      </c>
      <c r="F1946" t="s">
        <v>29</v>
      </c>
      <c r="G1946" t="s">
        <v>12</v>
      </c>
      <c r="H1946" t="s">
        <v>13</v>
      </c>
      <c r="I1946" t="s">
        <v>14</v>
      </c>
      <c r="J1946" t="s">
        <v>15</v>
      </c>
      <c r="K1946">
        <v>18694</v>
      </c>
      <c r="L1946">
        <v>10</v>
      </c>
      <c r="M1946">
        <v>186940</v>
      </c>
      <c r="N1946" t="s">
        <v>16</v>
      </c>
    </row>
    <row r="1947" spans="5:14" x14ac:dyDescent="0.35">
      <c r="E1947" t="s">
        <v>63</v>
      </c>
      <c r="F1947" t="s">
        <v>29</v>
      </c>
      <c r="G1947" t="s">
        <v>12</v>
      </c>
      <c r="H1947" t="s">
        <v>13</v>
      </c>
      <c r="I1947" t="s">
        <v>14</v>
      </c>
      <c r="J1947" t="s">
        <v>17</v>
      </c>
      <c r="K1947">
        <v>8764</v>
      </c>
      <c r="L1947">
        <v>20</v>
      </c>
      <c r="M1947">
        <v>175280</v>
      </c>
      <c r="N1947" t="s">
        <v>16</v>
      </c>
    </row>
    <row r="1948" spans="5:14" x14ac:dyDescent="0.35">
      <c r="E1948" t="s">
        <v>63</v>
      </c>
      <c r="F1948" t="s">
        <v>29</v>
      </c>
      <c r="G1948" t="s">
        <v>12</v>
      </c>
      <c r="H1948" t="s">
        <v>13</v>
      </c>
      <c r="I1948" t="s">
        <v>14</v>
      </c>
      <c r="J1948" t="s">
        <v>19</v>
      </c>
      <c r="K1948">
        <v>13591</v>
      </c>
      <c r="L1948">
        <v>30</v>
      </c>
      <c r="M1948">
        <v>407730</v>
      </c>
      <c r="N1948" t="s">
        <v>16</v>
      </c>
    </row>
    <row r="1949" spans="5:14" x14ac:dyDescent="0.35">
      <c r="E1949" t="s">
        <v>63</v>
      </c>
      <c r="F1949" t="s">
        <v>29</v>
      </c>
      <c r="G1949" t="s">
        <v>12</v>
      </c>
      <c r="H1949" t="s">
        <v>13</v>
      </c>
      <c r="I1949" t="s">
        <v>14</v>
      </c>
      <c r="J1949" t="s">
        <v>20</v>
      </c>
      <c r="K1949">
        <v>9442</v>
      </c>
      <c r="L1949">
        <v>15</v>
      </c>
      <c r="M1949">
        <v>141630</v>
      </c>
      <c r="N1949" t="s">
        <v>16</v>
      </c>
    </row>
    <row r="1950" spans="5:14" x14ac:dyDescent="0.35">
      <c r="E1950" t="s">
        <v>63</v>
      </c>
      <c r="F1950" t="s">
        <v>29</v>
      </c>
      <c r="G1950" t="s">
        <v>12</v>
      </c>
      <c r="H1950" t="s">
        <v>22</v>
      </c>
      <c r="I1950" t="s">
        <v>23</v>
      </c>
      <c r="J1950" t="s">
        <v>24</v>
      </c>
      <c r="K1950">
        <v>13466</v>
      </c>
      <c r="L1950">
        <v>2</v>
      </c>
      <c r="M1950">
        <v>26932</v>
      </c>
      <c r="N1950" t="s">
        <v>16</v>
      </c>
    </row>
    <row r="1951" spans="5:14" x14ac:dyDescent="0.35">
      <c r="E1951" t="s">
        <v>63</v>
      </c>
      <c r="F1951" t="s">
        <v>29</v>
      </c>
      <c r="G1951" t="s">
        <v>12</v>
      </c>
      <c r="H1951" t="s">
        <v>22</v>
      </c>
      <c r="I1951" t="s">
        <v>23</v>
      </c>
      <c r="J1951" t="s">
        <v>25</v>
      </c>
      <c r="K1951">
        <v>11517</v>
      </c>
      <c r="L1951">
        <v>2</v>
      </c>
      <c r="M1951">
        <v>23034</v>
      </c>
      <c r="N1951" t="s">
        <v>18</v>
      </c>
    </row>
    <row r="1952" spans="5:14" x14ac:dyDescent="0.35">
      <c r="E1952" t="s">
        <v>63</v>
      </c>
      <c r="F1952" t="s">
        <v>29</v>
      </c>
      <c r="G1952" t="s">
        <v>12</v>
      </c>
      <c r="H1952" t="s">
        <v>22</v>
      </c>
      <c r="I1952" t="s">
        <v>23</v>
      </c>
      <c r="J1952" t="s">
        <v>26</v>
      </c>
      <c r="K1952">
        <v>21449</v>
      </c>
      <c r="L1952">
        <v>5</v>
      </c>
      <c r="M1952">
        <v>107245</v>
      </c>
      <c r="N1952" t="s">
        <v>16</v>
      </c>
    </row>
    <row r="1953" spans="5:14" x14ac:dyDescent="0.35">
      <c r="E1953" t="s">
        <v>63</v>
      </c>
      <c r="F1953" t="s">
        <v>29</v>
      </c>
      <c r="G1953" t="s">
        <v>12</v>
      </c>
      <c r="H1953" t="s">
        <v>22</v>
      </c>
      <c r="I1953" t="s">
        <v>27</v>
      </c>
      <c r="J1953" t="s">
        <v>28</v>
      </c>
      <c r="K1953">
        <v>7654</v>
      </c>
      <c r="L1953">
        <v>3</v>
      </c>
      <c r="M1953">
        <v>22962</v>
      </c>
      <c r="N1953" t="s">
        <v>21</v>
      </c>
    </row>
    <row r="1954" spans="5:14" x14ac:dyDescent="0.35">
      <c r="E1954" t="s">
        <v>63</v>
      </c>
      <c r="F1954" t="s">
        <v>30</v>
      </c>
      <c r="G1954" t="s">
        <v>12</v>
      </c>
      <c r="H1954" t="s">
        <v>13</v>
      </c>
      <c r="I1954" t="s">
        <v>14</v>
      </c>
      <c r="J1954" t="s">
        <v>15</v>
      </c>
      <c r="K1954">
        <v>11099</v>
      </c>
      <c r="L1954">
        <v>10</v>
      </c>
      <c r="M1954">
        <v>110990</v>
      </c>
      <c r="N1954" t="s">
        <v>18</v>
      </c>
    </row>
    <row r="1955" spans="5:14" x14ac:dyDescent="0.35">
      <c r="E1955" t="s">
        <v>63</v>
      </c>
      <c r="F1955" t="s">
        <v>30</v>
      </c>
      <c r="G1955" t="s">
        <v>12</v>
      </c>
      <c r="H1955" t="s">
        <v>13</v>
      </c>
      <c r="I1955" t="s">
        <v>14</v>
      </c>
      <c r="J1955" t="s">
        <v>17</v>
      </c>
      <c r="K1955">
        <v>9007</v>
      </c>
      <c r="L1955">
        <v>20</v>
      </c>
      <c r="M1955">
        <v>180140</v>
      </c>
      <c r="N1955" t="s">
        <v>18</v>
      </c>
    </row>
    <row r="1956" spans="5:14" x14ac:dyDescent="0.35">
      <c r="E1956" t="s">
        <v>63</v>
      </c>
      <c r="F1956" t="s">
        <v>30</v>
      </c>
      <c r="G1956" t="s">
        <v>12</v>
      </c>
      <c r="H1956" t="s">
        <v>13</v>
      </c>
      <c r="I1956" t="s">
        <v>14</v>
      </c>
      <c r="J1956" t="s">
        <v>19</v>
      </c>
      <c r="K1956">
        <v>19372</v>
      </c>
      <c r="L1956">
        <v>30</v>
      </c>
      <c r="M1956">
        <v>581160</v>
      </c>
      <c r="N1956" t="s">
        <v>21</v>
      </c>
    </row>
    <row r="1957" spans="5:14" x14ac:dyDescent="0.35">
      <c r="E1957" t="s">
        <v>63</v>
      </c>
      <c r="F1957" t="s">
        <v>30</v>
      </c>
      <c r="G1957" t="s">
        <v>12</v>
      </c>
      <c r="H1957" t="s">
        <v>13</v>
      </c>
      <c r="I1957" t="s">
        <v>14</v>
      </c>
      <c r="J1957" t="s">
        <v>20</v>
      </c>
      <c r="K1957">
        <v>20759</v>
      </c>
      <c r="L1957">
        <v>15</v>
      </c>
      <c r="M1957">
        <v>311385</v>
      </c>
      <c r="N1957" t="s">
        <v>16</v>
      </c>
    </row>
    <row r="1958" spans="5:14" x14ac:dyDescent="0.35">
      <c r="E1958" t="s">
        <v>63</v>
      </c>
      <c r="F1958" t="s">
        <v>30</v>
      </c>
      <c r="G1958" t="s">
        <v>12</v>
      </c>
      <c r="H1958" t="s">
        <v>22</v>
      </c>
      <c r="I1958" t="s">
        <v>23</v>
      </c>
      <c r="J1958" t="s">
        <v>24</v>
      </c>
      <c r="K1958">
        <v>17373</v>
      </c>
      <c r="L1958">
        <v>2</v>
      </c>
      <c r="M1958">
        <v>34746</v>
      </c>
      <c r="N1958" t="s">
        <v>16</v>
      </c>
    </row>
    <row r="1959" spans="5:14" x14ac:dyDescent="0.35">
      <c r="E1959" t="s">
        <v>63</v>
      </c>
      <c r="F1959" t="s">
        <v>30</v>
      </c>
      <c r="G1959" t="s">
        <v>12</v>
      </c>
      <c r="H1959" t="s">
        <v>22</v>
      </c>
      <c r="I1959" t="s">
        <v>23</v>
      </c>
      <c r="J1959" t="s">
        <v>25</v>
      </c>
      <c r="K1959">
        <v>21161</v>
      </c>
      <c r="L1959">
        <v>2</v>
      </c>
      <c r="M1959">
        <v>42322</v>
      </c>
      <c r="N1959" t="s">
        <v>18</v>
      </c>
    </row>
    <row r="1960" spans="5:14" x14ac:dyDescent="0.35">
      <c r="E1960" t="s">
        <v>63</v>
      </c>
      <c r="F1960" t="s">
        <v>30</v>
      </c>
      <c r="G1960" t="s">
        <v>12</v>
      </c>
      <c r="H1960" t="s">
        <v>22</v>
      </c>
      <c r="I1960" t="s">
        <v>23</v>
      </c>
      <c r="J1960" t="s">
        <v>26</v>
      </c>
      <c r="K1960">
        <v>13945</v>
      </c>
      <c r="L1960">
        <v>5</v>
      </c>
      <c r="M1960">
        <v>69725</v>
      </c>
      <c r="N1960" t="s">
        <v>16</v>
      </c>
    </row>
    <row r="1961" spans="5:14" x14ac:dyDescent="0.35">
      <c r="E1961" t="s">
        <v>63</v>
      </c>
      <c r="F1961" t="s">
        <v>30</v>
      </c>
      <c r="G1961" t="s">
        <v>12</v>
      </c>
      <c r="H1961" t="s">
        <v>22</v>
      </c>
      <c r="I1961" t="s">
        <v>27</v>
      </c>
      <c r="J1961" t="s">
        <v>28</v>
      </c>
      <c r="K1961">
        <v>16417</v>
      </c>
      <c r="L1961">
        <v>3</v>
      </c>
      <c r="M1961">
        <v>49251</v>
      </c>
      <c r="N1961" t="s">
        <v>16</v>
      </c>
    </row>
    <row r="1962" spans="5:14" x14ac:dyDescent="0.35">
      <c r="E1962" t="s">
        <v>63</v>
      </c>
      <c r="F1962" t="s">
        <v>31</v>
      </c>
      <c r="G1962" t="s">
        <v>12</v>
      </c>
      <c r="H1962" t="s">
        <v>13</v>
      </c>
      <c r="I1962" t="s">
        <v>14</v>
      </c>
      <c r="J1962" t="s">
        <v>15</v>
      </c>
      <c r="K1962">
        <v>9760</v>
      </c>
      <c r="L1962">
        <v>10</v>
      </c>
      <c r="M1962">
        <v>97600</v>
      </c>
      <c r="N1962" t="s">
        <v>18</v>
      </c>
    </row>
    <row r="1963" spans="5:14" x14ac:dyDescent="0.35">
      <c r="E1963" t="s">
        <v>63</v>
      </c>
      <c r="F1963" t="s">
        <v>31</v>
      </c>
      <c r="G1963" t="s">
        <v>12</v>
      </c>
      <c r="H1963" t="s">
        <v>13</v>
      </c>
      <c r="I1963" t="s">
        <v>14</v>
      </c>
      <c r="J1963" t="s">
        <v>17</v>
      </c>
      <c r="K1963">
        <v>14790</v>
      </c>
      <c r="L1963">
        <v>20</v>
      </c>
      <c r="M1963">
        <v>295800</v>
      </c>
      <c r="N1963" t="s">
        <v>18</v>
      </c>
    </row>
    <row r="1964" spans="5:14" x14ac:dyDescent="0.35">
      <c r="E1964" t="s">
        <v>63</v>
      </c>
      <c r="F1964" t="s">
        <v>31</v>
      </c>
      <c r="G1964" t="s">
        <v>12</v>
      </c>
      <c r="H1964" t="s">
        <v>13</v>
      </c>
      <c r="I1964" t="s">
        <v>14</v>
      </c>
      <c r="J1964" t="s">
        <v>19</v>
      </c>
      <c r="K1964">
        <v>8494</v>
      </c>
      <c r="L1964">
        <v>30</v>
      </c>
      <c r="M1964">
        <v>254820</v>
      </c>
      <c r="N1964" t="s">
        <v>21</v>
      </c>
    </row>
    <row r="1965" spans="5:14" x14ac:dyDescent="0.35">
      <c r="E1965" t="s">
        <v>63</v>
      </c>
      <c r="F1965" t="s">
        <v>31</v>
      </c>
      <c r="G1965" t="s">
        <v>12</v>
      </c>
      <c r="H1965" t="s">
        <v>13</v>
      </c>
      <c r="I1965" t="s">
        <v>14</v>
      </c>
      <c r="J1965" t="s">
        <v>20</v>
      </c>
      <c r="K1965">
        <v>13074</v>
      </c>
      <c r="L1965">
        <v>15</v>
      </c>
      <c r="M1965">
        <v>196110</v>
      </c>
      <c r="N1965" t="s">
        <v>16</v>
      </c>
    </row>
    <row r="1966" spans="5:14" x14ac:dyDescent="0.35">
      <c r="E1966" t="s">
        <v>63</v>
      </c>
      <c r="F1966" t="s">
        <v>31</v>
      </c>
      <c r="G1966" t="s">
        <v>12</v>
      </c>
      <c r="H1966" t="s">
        <v>22</v>
      </c>
      <c r="I1966" t="s">
        <v>23</v>
      </c>
      <c r="J1966" t="s">
        <v>24</v>
      </c>
      <c r="K1966">
        <v>8602</v>
      </c>
      <c r="L1966">
        <v>2</v>
      </c>
      <c r="M1966">
        <v>17204</v>
      </c>
      <c r="N1966" t="s">
        <v>18</v>
      </c>
    </row>
    <row r="1967" spans="5:14" x14ac:dyDescent="0.35">
      <c r="E1967" t="s">
        <v>63</v>
      </c>
      <c r="F1967" t="s">
        <v>31</v>
      </c>
      <c r="G1967" t="s">
        <v>12</v>
      </c>
      <c r="H1967" t="s">
        <v>22</v>
      </c>
      <c r="I1967" t="s">
        <v>23</v>
      </c>
      <c r="J1967" t="s">
        <v>25</v>
      </c>
      <c r="K1967">
        <v>11659</v>
      </c>
      <c r="L1967">
        <v>2</v>
      </c>
      <c r="M1967">
        <v>23318</v>
      </c>
      <c r="N1967" t="s">
        <v>21</v>
      </c>
    </row>
    <row r="1968" spans="5:14" x14ac:dyDescent="0.35">
      <c r="E1968" t="s">
        <v>63</v>
      </c>
      <c r="F1968" t="s">
        <v>31</v>
      </c>
      <c r="G1968" t="s">
        <v>12</v>
      </c>
      <c r="H1968" t="s">
        <v>22</v>
      </c>
      <c r="I1968" t="s">
        <v>23</v>
      </c>
      <c r="J1968" t="s">
        <v>26</v>
      </c>
      <c r="K1968">
        <v>14620</v>
      </c>
      <c r="L1968">
        <v>5</v>
      </c>
      <c r="M1968">
        <v>73100</v>
      </c>
      <c r="N1968" t="s">
        <v>21</v>
      </c>
    </row>
    <row r="1969" spans="5:14" x14ac:dyDescent="0.35">
      <c r="E1969" t="s">
        <v>63</v>
      </c>
      <c r="F1969" t="s">
        <v>31</v>
      </c>
      <c r="G1969" t="s">
        <v>12</v>
      </c>
      <c r="H1969" t="s">
        <v>22</v>
      </c>
      <c r="I1969" t="s">
        <v>27</v>
      </c>
      <c r="J1969" t="s">
        <v>28</v>
      </c>
      <c r="K1969">
        <v>23136</v>
      </c>
      <c r="L1969">
        <v>3</v>
      </c>
      <c r="M1969">
        <v>69408</v>
      </c>
      <c r="N1969" t="s">
        <v>21</v>
      </c>
    </row>
    <row r="1970" spans="5:14" x14ac:dyDescent="0.35">
      <c r="E1970" t="s">
        <v>63</v>
      </c>
      <c r="F1970" t="s">
        <v>32</v>
      </c>
      <c r="G1970" t="s">
        <v>12</v>
      </c>
      <c r="H1970" t="s">
        <v>13</v>
      </c>
      <c r="I1970" t="s">
        <v>14</v>
      </c>
      <c r="J1970" t="s">
        <v>15</v>
      </c>
      <c r="K1970">
        <v>9742</v>
      </c>
      <c r="L1970">
        <v>10</v>
      </c>
      <c r="M1970">
        <v>97420</v>
      </c>
      <c r="N1970" t="s">
        <v>21</v>
      </c>
    </row>
    <row r="1971" spans="5:14" x14ac:dyDescent="0.35">
      <c r="E1971" t="s">
        <v>63</v>
      </c>
      <c r="F1971" t="s">
        <v>32</v>
      </c>
      <c r="G1971" t="s">
        <v>12</v>
      </c>
      <c r="H1971" t="s">
        <v>13</v>
      </c>
      <c r="I1971" t="s">
        <v>14</v>
      </c>
      <c r="J1971" t="s">
        <v>17</v>
      </c>
      <c r="K1971">
        <v>17514</v>
      </c>
      <c r="L1971">
        <v>20</v>
      </c>
      <c r="M1971">
        <v>350280</v>
      </c>
      <c r="N1971" t="s">
        <v>21</v>
      </c>
    </row>
    <row r="1972" spans="5:14" x14ac:dyDescent="0.35">
      <c r="E1972" t="s">
        <v>63</v>
      </c>
      <c r="F1972" t="s">
        <v>32</v>
      </c>
      <c r="G1972" t="s">
        <v>12</v>
      </c>
      <c r="H1972" t="s">
        <v>13</v>
      </c>
      <c r="I1972" t="s">
        <v>14</v>
      </c>
      <c r="J1972" t="s">
        <v>19</v>
      </c>
      <c r="K1972">
        <v>9775</v>
      </c>
      <c r="L1972">
        <v>30</v>
      </c>
      <c r="M1972">
        <v>293250</v>
      </c>
      <c r="N1972" t="s">
        <v>18</v>
      </c>
    </row>
    <row r="1973" spans="5:14" x14ac:dyDescent="0.35">
      <c r="E1973" t="s">
        <v>63</v>
      </c>
      <c r="F1973" t="s">
        <v>32</v>
      </c>
      <c r="G1973" t="s">
        <v>12</v>
      </c>
      <c r="H1973" t="s">
        <v>13</v>
      </c>
      <c r="I1973" t="s">
        <v>14</v>
      </c>
      <c r="J1973" t="s">
        <v>20</v>
      </c>
      <c r="K1973">
        <v>10195</v>
      </c>
      <c r="L1973">
        <v>15</v>
      </c>
      <c r="M1973">
        <v>152925</v>
      </c>
      <c r="N1973" t="s">
        <v>21</v>
      </c>
    </row>
    <row r="1974" spans="5:14" x14ac:dyDescent="0.35">
      <c r="E1974" t="s">
        <v>63</v>
      </c>
      <c r="F1974" t="s">
        <v>32</v>
      </c>
      <c r="G1974" t="s">
        <v>12</v>
      </c>
      <c r="H1974" t="s">
        <v>22</v>
      </c>
      <c r="I1974" t="s">
        <v>23</v>
      </c>
      <c r="J1974" t="s">
        <v>24</v>
      </c>
      <c r="K1974">
        <v>12896</v>
      </c>
      <c r="L1974">
        <v>2</v>
      </c>
      <c r="M1974">
        <v>25792</v>
      </c>
      <c r="N1974" t="s">
        <v>21</v>
      </c>
    </row>
    <row r="1975" spans="5:14" x14ac:dyDescent="0.35">
      <c r="E1975" t="s">
        <v>63</v>
      </c>
      <c r="F1975" t="s">
        <v>32</v>
      </c>
      <c r="G1975" t="s">
        <v>12</v>
      </c>
      <c r="H1975" t="s">
        <v>22</v>
      </c>
      <c r="I1975" t="s">
        <v>23</v>
      </c>
      <c r="J1975" t="s">
        <v>25</v>
      </c>
      <c r="K1975">
        <v>10265</v>
      </c>
      <c r="L1975">
        <v>2</v>
      </c>
      <c r="M1975">
        <v>20530</v>
      </c>
      <c r="N1975" t="s">
        <v>21</v>
      </c>
    </row>
    <row r="1976" spans="5:14" x14ac:dyDescent="0.35">
      <c r="E1976" t="s">
        <v>63</v>
      </c>
      <c r="F1976" t="s">
        <v>32</v>
      </c>
      <c r="G1976" t="s">
        <v>12</v>
      </c>
      <c r="H1976" t="s">
        <v>22</v>
      </c>
      <c r="I1976" t="s">
        <v>23</v>
      </c>
      <c r="J1976" t="s">
        <v>26</v>
      </c>
      <c r="K1976">
        <v>11131</v>
      </c>
      <c r="L1976">
        <v>5</v>
      </c>
      <c r="M1976">
        <v>55655</v>
      </c>
      <c r="N1976" t="s">
        <v>21</v>
      </c>
    </row>
    <row r="1977" spans="5:14" x14ac:dyDescent="0.35">
      <c r="E1977" t="s">
        <v>63</v>
      </c>
      <c r="F1977" t="s">
        <v>32</v>
      </c>
      <c r="G1977" t="s">
        <v>12</v>
      </c>
      <c r="H1977" t="s">
        <v>22</v>
      </c>
      <c r="I1977" t="s">
        <v>27</v>
      </c>
      <c r="J1977" t="s">
        <v>28</v>
      </c>
      <c r="K1977">
        <v>16675</v>
      </c>
      <c r="L1977">
        <v>3</v>
      </c>
      <c r="M1977">
        <v>50025</v>
      </c>
      <c r="N1977" t="s">
        <v>21</v>
      </c>
    </row>
    <row r="1978" spans="5:14" x14ac:dyDescent="0.35">
      <c r="E1978" t="s">
        <v>63</v>
      </c>
      <c r="F1978" t="s">
        <v>33</v>
      </c>
      <c r="G1978" t="s">
        <v>12</v>
      </c>
      <c r="H1978" t="s">
        <v>13</v>
      </c>
      <c r="I1978" t="s">
        <v>14</v>
      </c>
      <c r="J1978" t="s">
        <v>15</v>
      </c>
      <c r="K1978">
        <v>8955</v>
      </c>
      <c r="L1978">
        <v>10</v>
      </c>
      <c r="M1978">
        <v>89550</v>
      </c>
      <c r="N1978" t="s">
        <v>18</v>
      </c>
    </row>
    <row r="1979" spans="5:14" x14ac:dyDescent="0.35">
      <c r="E1979" t="s">
        <v>63</v>
      </c>
      <c r="F1979" t="s">
        <v>33</v>
      </c>
      <c r="G1979" t="s">
        <v>12</v>
      </c>
      <c r="H1979" t="s">
        <v>13</v>
      </c>
      <c r="I1979" t="s">
        <v>14</v>
      </c>
      <c r="J1979" t="s">
        <v>17</v>
      </c>
      <c r="K1979">
        <v>11153</v>
      </c>
      <c r="L1979">
        <v>20</v>
      </c>
      <c r="M1979">
        <v>223060</v>
      </c>
      <c r="N1979" t="s">
        <v>16</v>
      </c>
    </row>
    <row r="1980" spans="5:14" x14ac:dyDescent="0.35">
      <c r="E1980" t="s">
        <v>63</v>
      </c>
      <c r="F1980" t="s">
        <v>33</v>
      </c>
      <c r="G1980" t="s">
        <v>12</v>
      </c>
      <c r="H1980" t="s">
        <v>13</v>
      </c>
      <c r="I1980" t="s">
        <v>14</v>
      </c>
      <c r="J1980" t="s">
        <v>19</v>
      </c>
      <c r="K1980">
        <v>20090</v>
      </c>
      <c r="L1980">
        <v>30</v>
      </c>
      <c r="M1980">
        <v>602700</v>
      </c>
      <c r="N1980" t="s">
        <v>18</v>
      </c>
    </row>
    <row r="1981" spans="5:14" x14ac:dyDescent="0.35">
      <c r="E1981" t="s">
        <v>63</v>
      </c>
      <c r="F1981" t="s">
        <v>33</v>
      </c>
      <c r="G1981" t="s">
        <v>12</v>
      </c>
      <c r="H1981" t="s">
        <v>13</v>
      </c>
      <c r="I1981" t="s">
        <v>14</v>
      </c>
      <c r="J1981" t="s">
        <v>20</v>
      </c>
      <c r="K1981">
        <v>14305</v>
      </c>
      <c r="L1981">
        <v>15</v>
      </c>
      <c r="M1981">
        <v>214575</v>
      </c>
      <c r="N1981" t="s">
        <v>18</v>
      </c>
    </row>
    <row r="1982" spans="5:14" x14ac:dyDescent="0.35">
      <c r="E1982" t="s">
        <v>63</v>
      </c>
      <c r="F1982" t="s">
        <v>33</v>
      </c>
      <c r="G1982" t="s">
        <v>12</v>
      </c>
      <c r="H1982" t="s">
        <v>22</v>
      </c>
      <c r="I1982" t="s">
        <v>23</v>
      </c>
      <c r="J1982" t="s">
        <v>24</v>
      </c>
      <c r="K1982">
        <v>14418</v>
      </c>
      <c r="L1982">
        <v>2</v>
      </c>
      <c r="M1982">
        <v>28836</v>
      </c>
      <c r="N1982" t="s">
        <v>21</v>
      </c>
    </row>
    <row r="1983" spans="5:14" x14ac:dyDescent="0.35">
      <c r="E1983" t="s">
        <v>63</v>
      </c>
      <c r="F1983" t="s">
        <v>33</v>
      </c>
      <c r="G1983" t="s">
        <v>12</v>
      </c>
      <c r="H1983" t="s">
        <v>22</v>
      </c>
      <c r="I1983" t="s">
        <v>23</v>
      </c>
      <c r="J1983" t="s">
        <v>25</v>
      </c>
      <c r="K1983">
        <v>11921</v>
      </c>
      <c r="L1983">
        <v>2</v>
      </c>
      <c r="M1983">
        <v>23842</v>
      </c>
      <c r="N1983" t="s">
        <v>21</v>
      </c>
    </row>
    <row r="1984" spans="5:14" x14ac:dyDescent="0.35">
      <c r="E1984" t="s">
        <v>63</v>
      </c>
      <c r="F1984" t="s">
        <v>33</v>
      </c>
      <c r="G1984" t="s">
        <v>12</v>
      </c>
      <c r="H1984" t="s">
        <v>22</v>
      </c>
      <c r="I1984" t="s">
        <v>23</v>
      </c>
      <c r="J1984" t="s">
        <v>26</v>
      </c>
      <c r="K1984">
        <v>18700</v>
      </c>
      <c r="L1984">
        <v>5</v>
      </c>
      <c r="M1984">
        <v>93500</v>
      </c>
      <c r="N1984" t="s">
        <v>21</v>
      </c>
    </row>
    <row r="1985" spans="5:14" x14ac:dyDescent="0.35">
      <c r="E1985" t="s">
        <v>63</v>
      </c>
      <c r="F1985" t="s">
        <v>33</v>
      </c>
      <c r="G1985" t="s">
        <v>12</v>
      </c>
      <c r="H1985" t="s">
        <v>22</v>
      </c>
      <c r="I1985" t="s">
        <v>27</v>
      </c>
      <c r="J1985" t="s">
        <v>28</v>
      </c>
      <c r="K1985">
        <v>9215</v>
      </c>
      <c r="L1985">
        <v>3</v>
      </c>
      <c r="M1985">
        <v>27645</v>
      </c>
      <c r="N1985" t="s">
        <v>21</v>
      </c>
    </row>
    <row r="1986" spans="5:14" x14ac:dyDescent="0.35">
      <c r="E1986" t="s">
        <v>63</v>
      </c>
      <c r="F1986" t="s">
        <v>34</v>
      </c>
      <c r="G1986" t="s">
        <v>12</v>
      </c>
      <c r="H1986" t="s">
        <v>13</v>
      </c>
      <c r="I1986" t="s">
        <v>14</v>
      </c>
      <c r="J1986" t="s">
        <v>15</v>
      </c>
      <c r="K1986">
        <v>8713</v>
      </c>
      <c r="L1986">
        <v>10</v>
      </c>
      <c r="M1986">
        <v>87130</v>
      </c>
      <c r="N1986" t="s">
        <v>21</v>
      </c>
    </row>
    <row r="1987" spans="5:14" x14ac:dyDescent="0.35">
      <c r="E1987" t="s">
        <v>63</v>
      </c>
      <c r="F1987" t="s">
        <v>34</v>
      </c>
      <c r="G1987" t="s">
        <v>12</v>
      </c>
      <c r="H1987" t="s">
        <v>13</v>
      </c>
      <c r="I1987" t="s">
        <v>14</v>
      </c>
      <c r="J1987" t="s">
        <v>17</v>
      </c>
      <c r="K1987">
        <v>8206</v>
      </c>
      <c r="L1987">
        <v>20</v>
      </c>
      <c r="M1987">
        <v>164120</v>
      </c>
      <c r="N1987" t="s">
        <v>18</v>
      </c>
    </row>
    <row r="1988" spans="5:14" x14ac:dyDescent="0.35">
      <c r="E1988" t="s">
        <v>63</v>
      </c>
      <c r="F1988" t="s">
        <v>34</v>
      </c>
      <c r="G1988" t="s">
        <v>12</v>
      </c>
      <c r="H1988" t="s">
        <v>13</v>
      </c>
      <c r="I1988" t="s">
        <v>14</v>
      </c>
      <c r="J1988" t="s">
        <v>19</v>
      </c>
      <c r="K1988">
        <v>20462</v>
      </c>
      <c r="L1988">
        <v>30</v>
      </c>
      <c r="M1988">
        <v>613860</v>
      </c>
      <c r="N1988" t="s">
        <v>21</v>
      </c>
    </row>
    <row r="1989" spans="5:14" x14ac:dyDescent="0.35">
      <c r="E1989" t="s">
        <v>63</v>
      </c>
      <c r="F1989" t="s">
        <v>34</v>
      </c>
      <c r="G1989" t="s">
        <v>12</v>
      </c>
      <c r="H1989" t="s">
        <v>13</v>
      </c>
      <c r="I1989" t="s">
        <v>14</v>
      </c>
      <c r="J1989" t="s">
        <v>20</v>
      </c>
      <c r="K1989">
        <v>15133</v>
      </c>
      <c r="L1989">
        <v>15</v>
      </c>
      <c r="M1989">
        <v>226995</v>
      </c>
      <c r="N1989" t="s">
        <v>21</v>
      </c>
    </row>
    <row r="1990" spans="5:14" x14ac:dyDescent="0.35">
      <c r="E1990" t="s">
        <v>63</v>
      </c>
      <c r="F1990" t="s">
        <v>34</v>
      </c>
      <c r="G1990" t="s">
        <v>12</v>
      </c>
      <c r="H1990" t="s">
        <v>22</v>
      </c>
      <c r="I1990" t="s">
        <v>23</v>
      </c>
      <c r="J1990" t="s">
        <v>24</v>
      </c>
      <c r="K1990">
        <v>15291</v>
      </c>
      <c r="L1990">
        <v>2</v>
      </c>
      <c r="M1990">
        <v>30582</v>
      </c>
      <c r="N1990" t="s">
        <v>16</v>
      </c>
    </row>
    <row r="1991" spans="5:14" x14ac:dyDescent="0.35">
      <c r="E1991" t="s">
        <v>63</v>
      </c>
      <c r="F1991" t="s">
        <v>34</v>
      </c>
      <c r="G1991" t="s">
        <v>12</v>
      </c>
      <c r="H1991" t="s">
        <v>22</v>
      </c>
      <c r="I1991" t="s">
        <v>23</v>
      </c>
      <c r="J1991" t="s">
        <v>25</v>
      </c>
      <c r="K1991">
        <v>12063</v>
      </c>
      <c r="L1991">
        <v>2</v>
      </c>
      <c r="M1991">
        <v>24126</v>
      </c>
      <c r="N1991" t="s">
        <v>18</v>
      </c>
    </row>
    <row r="1992" spans="5:14" x14ac:dyDescent="0.35">
      <c r="E1992" t="s">
        <v>63</v>
      </c>
      <c r="F1992" t="s">
        <v>34</v>
      </c>
      <c r="G1992" t="s">
        <v>12</v>
      </c>
      <c r="H1992" t="s">
        <v>22</v>
      </c>
      <c r="I1992" t="s">
        <v>23</v>
      </c>
      <c r="J1992" t="s">
        <v>26</v>
      </c>
      <c r="K1992">
        <v>13776</v>
      </c>
      <c r="L1992">
        <v>5</v>
      </c>
      <c r="M1992">
        <v>68880</v>
      </c>
      <c r="N1992" t="s">
        <v>16</v>
      </c>
    </row>
    <row r="1993" spans="5:14" x14ac:dyDescent="0.35">
      <c r="E1993" t="s">
        <v>63</v>
      </c>
      <c r="F1993" t="s">
        <v>34</v>
      </c>
      <c r="G1993" t="s">
        <v>12</v>
      </c>
      <c r="H1993" t="s">
        <v>22</v>
      </c>
      <c r="I1993" t="s">
        <v>27</v>
      </c>
      <c r="J1993" t="s">
        <v>28</v>
      </c>
      <c r="K1993">
        <v>12226</v>
      </c>
      <c r="L1993">
        <v>3</v>
      </c>
      <c r="M1993">
        <v>36678</v>
      </c>
      <c r="N1993" t="s">
        <v>21</v>
      </c>
    </row>
    <row r="1994" spans="5:14" x14ac:dyDescent="0.35">
      <c r="E1994" t="s">
        <v>63</v>
      </c>
      <c r="F1994" t="s">
        <v>35</v>
      </c>
      <c r="G1994" t="s">
        <v>36</v>
      </c>
      <c r="H1994" t="s">
        <v>13</v>
      </c>
      <c r="I1994" t="s">
        <v>14</v>
      </c>
      <c r="J1994" t="s">
        <v>15</v>
      </c>
      <c r="K1994">
        <v>19437</v>
      </c>
      <c r="L1994">
        <v>10</v>
      </c>
      <c r="M1994">
        <v>194370</v>
      </c>
      <c r="N1994" t="s">
        <v>21</v>
      </c>
    </row>
    <row r="1995" spans="5:14" x14ac:dyDescent="0.35">
      <c r="E1995" t="s">
        <v>63</v>
      </c>
      <c r="F1995" t="s">
        <v>35</v>
      </c>
      <c r="G1995" t="s">
        <v>36</v>
      </c>
      <c r="H1995" t="s">
        <v>13</v>
      </c>
      <c r="I1995" t="s">
        <v>14</v>
      </c>
      <c r="J1995" t="s">
        <v>17</v>
      </c>
      <c r="K1995">
        <v>19435</v>
      </c>
      <c r="L1995">
        <v>20</v>
      </c>
      <c r="M1995">
        <v>388700</v>
      </c>
      <c r="N1995" t="s">
        <v>21</v>
      </c>
    </row>
    <row r="1996" spans="5:14" x14ac:dyDescent="0.35">
      <c r="E1996" t="s">
        <v>63</v>
      </c>
      <c r="F1996" t="s">
        <v>35</v>
      </c>
      <c r="G1996" t="s">
        <v>36</v>
      </c>
      <c r="H1996" t="s">
        <v>13</v>
      </c>
      <c r="I1996" t="s">
        <v>14</v>
      </c>
      <c r="J1996" t="s">
        <v>19</v>
      </c>
      <c r="K1996">
        <v>9646</v>
      </c>
      <c r="L1996">
        <v>30</v>
      </c>
      <c r="M1996">
        <v>289380</v>
      </c>
      <c r="N1996" t="s">
        <v>18</v>
      </c>
    </row>
    <row r="1997" spans="5:14" x14ac:dyDescent="0.35">
      <c r="E1997" t="s">
        <v>63</v>
      </c>
      <c r="F1997" t="s">
        <v>35</v>
      </c>
      <c r="G1997" t="s">
        <v>36</v>
      </c>
      <c r="H1997" t="s">
        <v>13</v>
      </c>
      <c r="I1997" t="s">
        <v>14</v>
      </c>
      <c r="J1997" t="s">
        <v>20</v>
      </c>
      <c r="K1997">
        <v>18289</v>
      </c>
      <c r="L1997">
        <v>15</v>
      </c>
      <c r="M1997">
        <v>274335</v>
      </c>
      <c r="N1997" t="s">
        <v>18</v>
      </c>
    </row>
    <row r="1998" spans="5:14" x14ac:dyDescent="0.35">
      <c r="E1998" t="s">
        <v>63</v>
      </c>
      <c r="F1998" t="s">
        <v>35</v>
      </c>
      <c r="G1998" t="s">
        <v>36</v>
      </c>
      <c r="H1998" t="s">
        <v>22</v>
      </c>
      <c r="I1998" t="s">
        <v>23</v>
      </c>
      <c r="J1998" t="s">
        <v>24</v>
      </c>
      <c r="K1998">
        <v>15163</v>
      </c>
      <c r="L1998">
        <v>2</v>
      </c>
      <c r="M1998">
        <v>30326</v>
      </c>
      <c r="N1998" t="s">
        <v>16</v>
      </c>
    </row>
    <row r="1999" spans="5:14" x14ac:dyDescent="0.35">
      <c r="E1999" t="s">
        <v>63</v>
      </c>
      <c r="F1999" t="s">
        <v>35</v>
      </c>
      <c r="G1999" t="s">
        <v>36</v>
      </c>
      <c r="H1999" t="s">
        <v>22</v>
      </c>
      <c r="I1999" t="s">
        <v>23</v>
      </c>
      <c r="J1999" t="s">
        <v>25</v>
      </c>
      <c r="K1999">
        <v>12647</v>
      </c>
      <c r="L1999">
        <v>2</v>
      </c>
      <c r="M1999">
        <v>25294</v>
      </c>
      <c r="N1999" t="s">
        <v>18</v>
      </c>
    </row>
    <row r="2000" spans="5:14" x14ac:dyDescent="0.35">
      <c r="E2000" t="s">
        <v>63</v>
      </c>
      <c r="F2000" t="s">
        <v>35</v>
      </c>
      <c r="G2000" t="s">
        <v>36</v>
      </c>
      <c r="H2000" t="s">
        <v>22</v>
      </c>
      <c r="I2000" t="s">
        <v>23</v>
      </c>
      <c r="J2000" t="s">
        <v>26</v>
      </c>
      <c r="K2000">
        <v>10456</v>
      </c>
      <c r="L2000">
        <v>5</v>
      </c>
      <c r="M2000">
        <v>52280</v>
      </c>
      <c r="N2000" t="s">
        <v>16</v>
      </c>
    </row>
    <row r="2001" spans="5:14" x14ac:dyDescent="0.35">
      <c r="E2001" t="s">
        <v>63</v>
      </c>
      <c r="F2001" t="s">
        <v>35</v>
      </c>
      <c r="G2001" t="s">
        <v>36</v>
      </c>
      <c r="H2001" t="s">
        <v>22</v>
      </c>
      <c r="I2001" t="s">
        <v>27</v>
      </c>
      <c r="J2001" t="s">
        <v>28</v>
      </c>
      <c r="K2001">
        <v>19738</v>
      </c>
      <c r="L2001">
        <v>3</v>
      </c>
      <c r="M2001">
        <v>59214</v>
      </c>
      <c r="N2001" t="s">
        <v>18</v>
      </c>
    </row>
    <row r="2002" spans="5:14" x14ac:dyDescent="0.35">
      <c r="E2002" t="s">
        <v>63</v>
      </c>
      <c r="F2002" t="s">
        <v>37</v>
      </c>
      <c r="G2002" t="s">
        <v>36</v>
      </c>
      <c r="H2002" t="s">
        <v>13</v>
      </c>
      <c r="I2002" t="s">
        <v>14</v>
      </c>
      <c r="J2002" t="s">
        <v>15</v>
      </c>
      <c r="K2002">
        <v>7686</v>
      </c>
      <c r="L2002">
        <v>10</v>
      </c>
      <c r="M2002">
        <v>76860</v>
      </c>
      <c r="N2002" t="s">
        <v>21</v>
      </c>
    </row>
    <row r="2003" spans="5:14" x14ac:dyDescent="0.35">
      <c r="E2003" t="s">
        <v>63</v>
      </c>
      <c r="F2003" t="s">
        <v>37</v>
      </c>
      <c r="G2003" t="s">
        <v>36</v>
      </c>
      <c r="H2003" t="s">
        <v>13</v>
      </c>
      <c r="I2003" t="s">
        <v>14</v>
      </c>
      <c r="J2003" t="s">
        <v>17</v>
      </c>
      <c r="K2003">
        <v>17210</v>
      </c>
      <c r="L2003">
        <v>20</v>
      </c>
      <c r="M2003">
        <v>344200</v>
      </c>
      <c r="N2003" t="s">
        <v>21</v>
      </c>
    </row>
    <row r="2004" spans="5:14" x14ac:dyDescent="0.35">
      <c r="E2004" t="s">
        <v>63</v>
      </c>
      <c r="F2004" t="s">
        <v>37</v>
      </c>
      <c r="G2004" t="s">
        <v>36</v>
      </c>
      <c r="H2004" t="s">
        <v>13</v>
      </c>
      <c r="I2004" t="s">
        <v>14</v>
      </c>
      <c r="J2004" t="s">
        <v>19</v>
      </c>
      <c r="K2004">
        <v>8314</v>
      </c>
      <c r="L2004">
        <v>30</v>
      </c>
      <c r="M2004">
        <v>249420</v>
      </c>
      <c r="N2004" t="s">
        <v>21</v>
      </c>
    </row>
    <row r="2005" spans="5:14" x14ac:dyDescent="0.35">
      <c r="E2005" t="s">
        <v>63</v>
      </c>
      <c r="F2005" t="s">
        <v>37</v>
      </c>
      <c r="G2005" t="s">
        <v>36</v>
      </c>
      <c r="H2005" t="s">
        <v>13</v>
      </c>
      <c r="I2005" t="s">
        <v>14</v>
      </c>
      <c r="J2005" t="s">
        <v>20</v>
      </c>
      <c r="K2005">
        <v>15763</v>
      </c>
      <c r="L2005">
        <v>15</v>
      </c>
      <c r="M2005">
        <v>236445</v>
      </c>
      <c r="N2005" t="s">
        <v>21</v>
      </c>
    </row>
    <row r="2006" spans="5:14" x14ac:dyDescent="0.35">
      <c r="E2006" t="s">
        <v>63</v>
      </c>
      <c r="F2006" t="s">
        <v>37</v>
      </c>
      <c r="G2006" t="s">
        <v>36</v>
      </c>
      <c r="H2006" t="s">
        <v>22</v>
      </c>
      <c r="I2006" t="s">
        <v>23</v>
      </c>
      <c r="J2006" t="s">
        <v>24</v>
      </c>
      <c r="K2006">
        <v>7448</v>
      </c>
      <c r="L2006">
        <v>2</v>
      </c>
      <c r="M2006">
        <v>14896</v>
      </c>
      <c r="N2006" t="s">
        <v>16</v>
      </c>
    </row>
    <row r="2007" spans="5:14" x14ac:dyDescent="0.35">
      <c r="E2007" t="s">
        <v>63</v>
      </c>
      <c r="F2007" t="s">
        <v>37</v>
      </c>
      <c r="G2007" t="s">
        <v>36</v>
      </c>
      <c r="H2007" t="s">
        <v>22</v>
      </c>
      <c r="I2007" t="s">
        <v>23</v>
      </c>
      <c r="J2007" t="s">
        <v>25</v>
      </c>
      <c r="K2007">
        <v>20846</v>
      </c>
      <c r="L2007">
        <v>2</v>
      </c>
      <c r="M2007">
        <v>41692</v>
      </c>
      <c r="N2007" t="s">
        <v>16</v>
      </c>
    </row>
    <row r="2008" spans="5:14" x14ac:dyDescent="0.35">
      <c r="E2008" t="s">
        <v>63</v>
      </c>
      <c r="F2008" t="s">
        <v>37</v>
      </c>
      <c r="G2008" t="s">
        <v>36</v>
      </c>
      <c r="H2008" t="s">
        <v>22</v>
      </c>
      <c r="I2008" t="s">
        <v>23</v>
      </c>
      <c r="J2008" t="s">
        <v>26</v>
      </c>
      <c r="K2008">
        <v>13830</v>
      </c>
      <c r="L2008">
        <v>5</v>
      </c>
      <c r="M2008">
        <v>69150</v>
      </c>
      <c r="N2008" t="s">
        <v>18</v>
      </c>
    </row>
    <row r="2009" spans="5:14" x14ac:dyDescent="0.35">
      <c r="E2009" t="s">
        <v>63</v>
      </c>
      <c r="F2009" t="s">
        <v>37</v>
      </c>
      <c r="G2009" t="s">
        <v>36</v>
      </c>
      <c r="H2009" t="s">
        <v>22</v>
      </c>
      <c r="I2009" t="s">
        <v>27</v>
      </c>
      <c r="J2009" t="s">
        <v>28</v>
      </c>
      <c r="K2009">
        <v>9986</v>
      </c>
      <c r="L2009">
        <v>3</v>
      </c>
      <c r="M2009">
        <v>29958</v>
      </c>
      <c r="N2009" t="s">
        <v>16</v>
      </c>
    </row>
    <row r="2010" spans="5:14" x14ac:dyDescent="0.35">
      <c r="E2010" t="s">
        <v>63</v>
      </c>
      <c r="F2010" t="s">
        <v>38</v>
      </c>
      <c r="G2010" t="s">
        <v>36</v>
      </c>
      <c r="H2010" t="s">
        <v>13</v>
      </c>
      <c r="I2010" t="s">
        <v>14</v>
      </c>
      <c r="J2010" t="s">
        <v>15</v>
      </c>
      <c r="K2010">
        <v>14346</v>
      </c>
      <c r="L2010">
        <v>10</v>
      </c>
      <c r="M2010">
        <v>143460</v>
      </c>
      <c r="N2010" t="s">
        <v>16</v>
      </c>
    </row>
    <row r="2011" spans="5:14" x14ac:dyDescent="0.35">
      <c r="E2011" t="s">
        <v>63</v>
      </c>
      <c r="F2011" t="s">
        <v>38</v>
      </c>
      <c r="G2011" t="s">
        <v>36</v>
      </c>
      <c r="H2011" t="s">
        <v>13</v>
      </c>
      <c r="I2011" t="s">
        <v>14</v>
      </c>
      <c r="J2011" t="s">
        <v>17</v>
      </c>
      <c r="K2011">
        <v>13187</v>
      </c>
      <c r="L2011">
        <v>20</v>
      </c>
      <c r="M2011">
        <v>263740</v>
      </c>
      <c r="N2011" t="s">
        <v>16</v>
      </c>
    </row>
    <row r="2012" spans="5:14" x14ac:dyDescent="0.35">
      <c r="E2012" t="s">
        <v>63</v>
      </c>
      <c r="F2012" t="s">
        <v>38</v>
      </c>
      <c r="G2012" t="s">
        <v>36</v>
      </c>
      <c r="H2012" t="s">
        <v>13</v>
      </c>
      <c r="I2012" t="s">
        <v>14</v>
      </c>
      <c r="J2012" t="s">
        <v>19</v>
      </c>
      <c r="K2012">
        <v>22657</v>
      </c>
      <c r="L2012">
        <v>30</v>
      </c>
      <c r="M2012">
        <v>679710</v>
      </c>
      <c r="N2012" t="s">
        <v>18</v>
      </c>
    </row>
    <row r="2013" spans="5:14" x14ac:dyDescent="0.35">
      <c r="E2013" t="s">
        <v>63</v>
      </c>
      <c r="F2013" t="s">
        <v>38</v>
      </c>
      <c r="G2013" t="s">
        <v>36</v>
      </c>
      <c r="H2013" t="s">
        <v>13</v>
      </c>
      <c r="I2013" t="s">
        <v>14</v>
      </c>
      <c r="J2013" t="s">
        <v>20</v>
      </c>
      <c r="K2013">
        <v>9909</v>
      </c>
      <c r="L2013">
        <v>15</v>
      </c>
      <c r="M2013">
        <v>148635</v>
      </c>
      <c r="N2013" t="s">
        <v>21</v>
      </c>
    </row>
    <row r="2014" spans="5:14" x14ac:dyDescent="0.35">
      <c r="E2014" t="s">
        <v>63</v>
      </c>
      <c r="F2014" t="s">
        <v>38</v>
      </c>
      <c r="G2014" t="s">
        <v>36</v>
      </c>
      <c r="H2014" t="s">
        <v>22</v>
      </c>
      <c r="I2014" t="s">
        <v>23</v>
      </c>
      <c r="J2014" t="s">
        <v>24</v>
      </c>
      <c r="K2014">
        <v>19941</v>
      </c>
      <c r="L2014">
        <v>2</v>
      </c>
      <c r="M2014">
        <v>39882</v>
      </c>
      <c r="N2014" t="s">
        <v>21</v>
      </c>
    </row>
    <row r="2015" spans="5:14" x14ac:dyDescent="0.35">
      <c r="E2015" t="s">
        <v>63</v>
      </c>
      <c r="F2015" t="s">
        <v>38</v>
      </c>
      <c r="G2015" t="s">
        <v>36</v>
      </c>
      <c r="H2015" t="s">
        <v>22</v>
      </c>
      <c r="I2015" t="s">
        <v>23</v>
      </c>
      <c r="J2015" t="s">
        <v>25</v>
      </c>
      <c r="K2015">
        <v>16183</v>
      </c>
      <c r="L2015">
        <v>2</v>
      </c>
      <c r="M2015">
        <v>32366</v>
      </c>
      <c r="N2015" t="s">
        <v>21</v>
      </c>
    </row>
    <row r="2016" spans="5:14" x14ac:dyDescent="0.35">
      <c r="E2016" t="s">
        <v>63</v>
      </c>
      <c r="F2016" t="s">
        <v>38</v>
      </c>
      <c r="G2016" t="s">
        <v>36</v>
      </c>
      <c r="H2016" t="s">
        <v>22</v>
      </c>
      <c r="I2016" t="s">
        <v>23</v>
      </c>
      <c r="J2016" t="s">
        <v>26</v>
      </c>
      <c r="K2016">
        <v>15521</v>
      </c>
      <c r="L2016">
        <v>5</v>
      </c>
      <c r="M2016">
        <v>77605</v>
      </c>
      <c r="N2016" t="s">
        <v>18</v>
      </c>
    </row>
    <row r="2017" spans="5:14" x14ac:dyDescent="0.35">
      <c r="E2017" t="s">
        <v>63</v>
      </c>
      <c r="F2017" t="s">
        <v>38</v>
      </c>
      <c r="G2017" t="s">
        <v>36</v>
      </c>
      <c r="H2017" t="s">
        <v>22</v>
      </c>
      <c r="I2017" t="s">
        <v>27</v>
      </c>
      <c r="J2017" t="s">
        <v>28</v>
      </c>
      <c r="K2017">
        <v>16868</v>
      </c>
      <c r="L2017">
        <v>3</v>
      </c>
      <c r="M2017">
        <v>50604</v>
      </c>
      <c r="N2017" t="s">
        <v>16</v>
      </c>
    </row>
    <row r="2018" spans="5:14" x14ac:dyDescent="0.35">
      <c r="E2018" t="s">
        <v>63</v>
      </c>
      <c r="F2018" t="s">
        <v>39</v>
      </c>
      <c r="G2018" t="s">
        <v>36</v>
      </c>
      <c r="H2018" t="s">
        <v>13</v>
      </c>
      <c r="I2018" t="s">
        <v>14</v>
      </c>
      <c r="J2018" t="s">
        <v>15</v>
      </c>
      <c r="K2018">
        <v>9446</v>
      </c>
      <c r="L2018">
        <v>10</v>
      </c>
      <c r="M2018">
        <v>94460</v>
      </c>
      <c r="N2018" t="s">
        <v>16</v>
      </c>
    </row>
    <row r="2019" spans="5:14" x14ac:dyDescent="0.35">
      <c r="E2019" t="s">
        <v>63</v>
      </c>
      <c r="F2019" t="s">
        <v>39</v>
      </c>
      <c r="G2019" t="s">
        <v>36</v>
      </c>
      <c r="H2019" t="s">
        <v>13</v>
      </c>
      <c r="I2019" t="s">
        <v>14</v>
      </c>
      <c r="J2019" t="s">
        <v>17</v>
      </c>
      <c r="K2019">
        <v>14959</v>
      </c>
      <c r="L2019">
        <v>20</v>
      </c>
      <c r="M2019">
        <v>299180</v>
      </c>
      <c r="N2019" t="s">
        <v>21</v>
      </c>
    </row>
    <row r="2020" spans="5:14" x14ac:dyDescent="0.35">
      <c r="E2020" t="s">
        <v>63</v>
      </c>
      <c r="F2020" t="s">
        <v>39</v>
      </c>
      <c r="G2020" t="s">
        <v>36</v>
      </c>
      <c r="H2020" t="s">
        <v>13</v>
      </c>
      <c r="I2020" t="s">
        <v>14</v>
      </c>
      <c r="J2020" t="s">
        <v>19</v>
      </c>
      <c r="K2020">
        <v>12467</v>
      </c>
      <c r="L2020">
        <v>30</v>
      </c>
      <c r="M2020">
        <v>374010</v>
      </c>
      <c r="N2020" t="s">
        <v>16</v>
      </c>
    </row>
    <row r="2021" spans="5:14" x14ac:dyDescent="0.35">
      <c r="E2021" t="s">
        <v>63</v>
      </c>
      <c r="F2021" t="s">
        <v>39</v>
      </c>
      <c r="G2021" t="s">
        <v>36</v>
      </c>
      <c r="H2021" t="s">
        <v>13</v>
      </c>
      <c r="I2021" t="s">
        <v>14</v>
      </c>
      <c r="J2021" t="s">
        <v>20</v>
      </c>
      <c r="K2021">
        <v>20690</v>
      </c>
      <c r="L2021">
        <v>15</v>
      </c>
      <c r="M2021">
        <v>310350</v>
      </c>
      <c r="N2021" t="s">
        <v>18</v>
      </c>
    </row>
    <row r="2022" spans="5:14" x14ac:dyDescent="0.35">
      <c r="E2022" t="s">
        <v>63</v>
      </c>
      <c r="F2022" t="s">
        <v>39</v>
      </c>
      <c r="G2022" t="s">
        <v>36</v>
      </c>
      <c r="H2022" t="s">
        <v>22</v>
      </c>
      <c r="I2022" t="s">
        <v>23</v>
      </c>
      <c r="J2022" t="s">
        <v>24</v>
      </c>
      <c r="K2022">
        <v>8517</v>
      </c>
      <c r="L2022">
        <v>2</v>
      </c>
      <c r="M2022">
        <v>17034</v>
      </c>
      <c r="N2022" t="s">
        <v>18</v>
      </c>
    </row>
    <row r="2023" spans="5:14" x14ac:dyDescent="0.35">
      <c r="E2023" t="s">
        <v>63</v>
      </c>
      <c r="F2023" t="s">
        <v>39</v>
      </c>
      <c r="G2023" t="s">
        <v>36</v>
      </c>
      <c r="H2023" t="s">
        <v>22</v>
      </c>
      <c r="I2023" t="s">
        <v>23</v>
      </c>
      <c r="J2023" t="s">
        <v>25</v>
      </c>
      <c r="K2023">
        <v>9174</v>
      </c>
      <c r="L2023">
        <v>2</v>
      </c>
      <c r="M2023">
        <v>18348</v>
      </c>
      <c r="N2023" t="s">
        <v>18</v>
      </c>
    </row>
    <row r="2024" spans="5:14" x14ac:dyDescent="0.35">
      <c r="E2024" t="s">
        <v>63</v>
      </c>
      <c r="F2024" t="s">
        <v>39</v>
      </c>
      <c r="G2024" t="s">
        <v>36</v>
      </c>
      <c r="H2024" t="s">
        <v>22</v>
      </c>
      <c r="I2024" t="s">
        <v>23</v>
      </c>
      <c r="J2024" t="s">
        <v>26</v>
      </c>
      <c r="K2024">
        <v>8634</v>
      </c>
      <c r="L2024">
        <v>5</v>
      </c>
      <c r="M2024">
        <v>43170</v>
      </c>
      <c r="N2024" t="s">
        <v>21</v>
      </c>
    </row>
    <row r="2025" spans="5:14" x14ac:dyDescent="0.35">
      <c r="E2025" t="s">
        <v>63</v>
      </c>
      <c r="F2025" t="s">
        <v>39</v>
      </c>
      <c r="G2025" t="s">
        <v>36</v>
      </c>
      <c r="H2025" t="s">
        <v>22</v>
      </c>
      <c r="I2025" t="s">
        <v>27</v>
      </c>
      <c r="J2025" t="s">
        <v>28</v>
      </c>
      <c r="K2025">
        <v>8356</v>
      </c>
      <c r="L2025">
        <v>3</v>
      </c>
      <c r="M2025">
        <v>25068</v>
      </c>
      <c r="N2025" t="s">
        <v>21</v>
      </c>
    </row>
    <row r="2026" spans="5:14" x14ac:dyDescent="0.35">
      <c r="E2026" t="s">
        <v>63</v>
      </c>
      <c r="F2026" t="s">
        <v>40</v>
      </c>
      <c r="G2026" t="s">
        <v>36</v>
      </c>
      <c r="H2026" t="s">
        <v>13</v>
      </c>
      <c r="I2026" t="s">
        <v>14</v>
      </c>
      <c r="J2026" t="s">
        <v>15</v>
      </c>
      <c r="K2026">
        <v>9042</v>
      </c>
      <c r="L2026">
        <v>10</v>
      </c>
      <c r="M2026">
        <v>90420</v>
      </c>
      <c r="N2026" t="s">
        <v>18</v>
      </c>
    </row>
    <row r="2027" spans="5:14" x14ac:dyDescent="0.35">
      <c r="E2027" t="s">
        <v>63</v>
      </c>
      <c r="F2027" t="s">
        <v>40</v>
      </c>
      <c r="G2027" t="s">
        <v>36</v>
      </c>
      <c r="H2027" t="s">
        <v>13</v>
      </c>
      <c r="I2027" t="s">
        <v>14</v>
      </c>
      <c r="J2027" t="s">
        <v>17</v>
      </c>
      <c r="K2027">
        <v>12363</v>
      </c>
      <c r="L2027">
        <v>20</v>
      </c>
      <c r="M2027">
        <v>247260</v>
      </c>
      <c r="N2027" t="s">
        <v>21</v>
      </c>
    </row>
    <row r="2028" spans="5:14" x14ac:dyDescent="0.35">
      <c r="E2028" t="s">
        <v>63</v>
      </c>
      <c r="F2028" t="s">
        <v>40</v>
      </c>
      <c r="G2028" t="s">
        <v>36</v>
      </c>
      <c r="H2028" t="s">
        <v>13</v>
      </c>
      <c r="I2028" t="s">
        <v>14</v>
      </c>
      <c r="J2028" t="s">
        <v>19</v>
      </c>
      <c r="K2028">
        <v>11063</v>
      </c>
      <c r="L2028">
        <v>30</v>
      </c>
      <c r="M2028">
        <v>331890</v>
      </c>
      <c r="N2028" t="s">
        <v>21</v>
      </c>
    </row>
    <row r="2029" spans="5:14" x14ac:dyDescent="0.35">
      <c r="E2029" t="s">
        <v>63</v>
      </c>
      <c r="F2029" t="s">
        <v>40</v>
      </c>
      <c r="G2029" t="s">
        <v>36</v>
      </c>
      <c r="H2029" t="s">
        <v>13</v>
      </c>
      <c r="I2029" t="s">
        <v>14</v>
      </c>
      <c r="J2029" t="s">
        <v>20</v>
      </c>
      <c r="K2029">
        <v>14595</v>
      </c>
      <c r="L2029">
        <v>15</v>
      </c>
      <c r="M2029">
        <v>218925</v>
      </c>
      <c r="N2029" t="s">
        <v>18</v>
      </c>
    </row>
    <row r="2030" spans="5:14" x14ac:dyDescent="0.35">
      <c r="E2030" t="s">
        <v>63</v>
      </c>
      <c r="F2030" t="s">
        <v>40</v>
      </c>
      <c r="G2030" t="s">
        <v>36</v>
      </c>
      <c r="H2030" t="s">
        <v>22</v>
      </c>
      <c r="I2030" t="s">
        <v>23</v>
      </c>
      <c r="J2030" t="s">
        <v>24</v>
      </c>
      <c r="K2030">
        <v>19428</v>
      </c>
      <c r="L2030">
        <v>2</v>
      </c>
      <c r="M2030">
        <v>38856</v>
      </c>
      <c r="N2030" t="s">
        <v>18</v>
      </c>
    </row>
    <row r="2031" spans="5:14" x14ac:dyDescent="0.35">
      <c r="E2031" t="s">
        <v>63</v>
      </c>
      <c r="F2031" t="s">
        <v>40</v>
      </c>
      <c r="G2031" t="s">
        <v>36</v>
      </c>
      <c r="H2031" t="s">
        <v>22</v>
      </c>
      <c r="I2031" t="s">
        <v>23</v>
      </c>
      <c r="J2031" t="s">
        <v>25</v>
      </c>
      <c r="K2031">
        <v>16593</v>
      </c>
      <c r="L2031">
        <v>2</v>
      </c>
      <c r="M2031">
        <v>33186</v>
      </c>
      <c r="N2031" t="s">
        <v>21</v>
      </c>
    </row>
    <row r="2032" spans="5:14" x14ac:dyDescent="0.35">
      <c r="E2032" t="s">
        <v>63</v>
      </c>
      <c r="F2032" t="s">
        <v>40</v>
      </c>
      <c r="G2032" t="s">
        <v>36</v>
      </c>
      <c r="H2032" t="s">
        <v>22</v>
      </c>
      <c r="I2032" t="s">
        <v>23</v>
      </c>
      <c r="J2032" t="s">
        <v>26</v>
      </c>
      <c r="K2032">
        <v>10050</v>
      </c>
      <c r="L2032">
        <v>5</v>
      </c>
      <c r="M2032">
        <v>50250</v>
      </c>
      <c r="N2032" t="s">
        <v>18</v>
      </c>
    </row>
    <row r="2033" spans="5:14" x14ac:dyDescent="0.35">
      <c r="E2033" t="s">
        <v>63</v>
      </c>
      <c r="F2033" t="s">
        <v>40</v>
      </c>
      <c r="G2033" t="s">
        <v>36</v>
      </c>
      <c r="H2033" t="s">
        <v>22</v>
      </c>
      <c r="I2033" t="s">
        <v>27</v>
      </c>
      <c r="J2033" t="s">
        <v>28</v>
      </c>
      <c r="K2033">
        <v>14738</v>
      </c>
      <c r="L2033">
        <v>3</v>
      </c>
      <c r="M2033">
        <v>44214</v>
      </c>
      <c r="N2033" t="s">
        <v>21</v>
      </c>
    </row>
    <row r="2034" spans="5:14" x14ac:dyDescent="0.35">
      <c r="E2034" t="s">
        <v>63</v>
      </c>
      <c r="F2034" t="s">
        <v>41</v>
      </c>
      <c r="G2034" t="s">
        <v>42</v>
      </c>
      <c r="H2034" t="s">
        <v>13</v>
      </c>
      <c r="I2034" t="s">
        <v>14</v>
      </c>
      <c r="J2034" t="s">
        <v>15</v>
      </c>
      <c r="K2034">
        <v>12619</v>
      </c>
      <c r="L2034">
        <v>10</v>
      </c>
      <c r="M2034">
        <v>126190</v>
      </c>
      <c r="N2034" t="s">
        <v>18</v>
      </c>
    </row>
    <row r="2035" spans="5:14" x14ac:dyDescent="0.35">
      <c r="E2035" t="s">
        <v>63</v>
      </c>
      <c r="F2035" t="s">
        <v>41</v>
      </c>
      <c r="G2035" t="s">
        <v>42</v>
      </c>
      <c r="H2035" t="s">
        <v>13</v>
      </c>
      <c r="I2035" t="s">
        <v>14</v>
      </c>
      <c r="J2035" t="s">
        <v>17</v>
      </c>
      <c r="K2035">
        <v>13518</v>
      </c>
      <c r="L2035">
        <v>20</v>
      </c>
      <c r="M2035">
        <v>270360</v>
      </c>
      <c r="N2035" t="s">
        <v>18</v>
      </c>
    </row>
    <row r="2036" spans="5:14" x14ac:dyDescent="0.35">
      <c r="E2036" t="s">
        <v>63</v>
      </c>
      <c r="F2036" t="s">
        <v>41</v>
      </c>
      <c r="G2036" t="s">
        <v>42</v>
      </c>
      <c r="H2036" t="s">
        <v>13</v>
      </c>
      <c r="I2036" t="s">
        <v>14</v>
      </c>
      <c r="J2036" t="s">
        <v>19</v>
      </c>
      <c r="K2036">
        <v>12895</v>
      </c>
      <c r="L2036">
        <v>30</v>
      </c>
      <c r="M2036">
        <v>386850</v>
      </c>
      <c r="N2036" t="s">
        <v>21</v>
      </c>
    </row>
    <row r="2037" spans="5:14" x14ac:dyDescent="0.35">
      <c r="E2037" t="s">
        <v>63</v>
      </c>
      <c r="F2037" t="s">
        <v>41</v>
      </c>
      <c r="G2037" t="s">
        <v>42</v>
      </c>
      <c r="H2037" t="s">
        <v>13</v>
      </c>
      <c r="I2037" t="s">
        <v>14</v>
      </c>
      <c r="J2037" t="s">
        <v>20</v>
      </c>
      <c r="K2037">
        <v>17288</v>
      </c>
      <c r="L2037">
        <v>15</v>
      </c>
      <c r="M2037">
        <v>259320</v>
      </c>
      <c r="N2037" t="s">
        <v>21</v>
      </c>
    </row>
    <row r="2038" spans="5:14" x14ac:dyDescent="0.35">
      <c r="E2038" t="s">
        <v>63</v>
      </c>
      <c r="F2038" t="s">
        <v>41</v>
      </c>
      <c r="G2038" t="s">
        <v>42</v>
      </c>
      <c r="H2038" t="s">
        <v>22</v>
      </c>
      <c r="I2038" t="s">
        <v>23</v>
      </c>
      <c r="J2038" t="s">
        <v>24</v>
      </c>
      <c r="K2038">
        <v>17726</v>
      </c>
      <c r="L2038">
        <v>2</v>
      </c>
      <c r="M2038">
        <v>35452</v>
      </c>
      <c r="N2038" t="s">
        <v>18</v>
      </c>
    </row>
    <row r="2039" spans="5:14" x14ac:dyDescent="0.35">
      <c r="E2039" t="s">
        <v>63</v>
      </c>
      <c r="F2039" t="s">
        <v>41</v>
      </c>
      <c r="G2039" t="s">
        <v>42</v>
      </c>
      <c r="H2039" t="s">
        <v>22</v>
      </c>
      <c r="I2039" t="s">
        <v>23</v>
      </c>
      <c r="J2039" t="s">
        <v>25</v>
      </c>
      <c r="K2039">
        <v>13756</v>
      </c>
      <c r="L2039">
        <v>2</v>
      </c>
      <c r="M2039">
        <v>27512</v>
      </c>
      <c r="N2039" t="s">
        <v>18</v>
      </c>
    </row>
    <row r="2040" spans="5:14" x14ac:dyDescent="0.35">
      <c r="E2040" t="s">
        <v>63</v>
      </c>
      <c r="F2040" t="s">
        <v>41</v>
      </c>
      <c r="G2040" t="s">
        <v>42</v>
      </c>
      <c r="H2040" t="s">
        <v>22</v>
      </c>
      <c r="I2040" t="s">
        <v>23</v>
      </c>
      <c r="J2040" t="s">
        <v>26</v>
      </c>
      <c r="K2040">
        <v>17773</v>
      </c>
      <c r="L2040">
        <v>5</v>
      </c>
      <c r="M2040">
        <v>88865</v>
      </c>
      <c r="N2040" t="s">
        <v>21</v>
      </c>
    </row>
    <row r="2041" spans="5:14" x14ac:dyDescent="0.35">
      <c r="E2041" t="s">
        <v>63</v>
      </c>
      <c r="F2041" t="s">
        <v>41</v>
      </c>
      <c r="G2041" t="s">
        <v>42</v>
      </c>
      <c r="H2041" t="s">
        <v>22</v>
      </c>
      <c r="I2041" t="s">
        <v>27</v>
      </c>
      <c r="J2041" t="s">
        <v>28</v>
      </c>
      <c r="K2041">
        <v>17042</v>
      </c>
      <c r="L2041">
        <v>3</v>
      </c>
      <c r="M2041">
        <v>51126</v>
      </c>
      <c r="N2041" t="s">
        <v>16</v>
      </c>
    </row>
    <row r="2042" spans="5:14" x14ac:dyDescent="0.35">
      <c r="E2042" t="s">
        <v>63</v>
      </c>
      <c r="F2042" t="s">
        <v>43</v>
      </c>
      <c r="G2042" t="s">
        <v>42</v>
      </c>
      <c r="H2042" t="s">
        <v>13</v>
      </c>
      <c r="I2042" t="s">
        <v>14</v>
      </c>
      <c r="J2042" t="s">
        <v>15</v>
      </c>
      <c r="K2042">
        <v>15686</v>
      </c>
      <c r="L2042">
        <v>10</v>
      </c>
      <c r="M2042">
        <v>156860</v>
      </c>
      <c r="N2042" t="s">
        <v>18</v>
      </c>
    </row>
    <row r="2043" spans="5:14" x14ac:dyDescent="0.35">
      <c r="E2043" t="s">
        <v>63</v>
      </c>
      <c r="F2043" t="s">
        <v>43</v>
      </c>
      <c r="G2043" t="s">
        <v>42</v>
      </c>
      <c r="H2043" t="s">
        <v>13</v>
      </c>
      <c r="I2043" t="s">
        <v>14</v>
      </c>
      <c r="J2043" t="s">
        <v>17</v>
      </c>
      <c r="K2043">
        <v>10714</v>
      </c>
      <c r="L2043">
        <v>20</v>
      </c>
      <c r="M2043">
        <v>214280</v>
      </c>
      <c r="N2043" t="s">
        <v>21</v>
      </c>
    </row>
    <row r="2044" spans="5:14" x14ac:dyDescent="0.35">
      <c r="E2044" t="s">
        <v>63</v>
      </c>
      <c r="F2044" t="s">
        <v>43</v>
      </c>
      <c r="G2044" t="s">
        <v>42</v>
      </c>
      <c r="H2044" t="s">
        <v>13</v>
      </c>
      <c r="I2044" t="s">
        <v>14</v>
      </c>
      <c r="J2044" t="s">
        <v>19</v>
      </c>
      <c r="K2044">
        <v>10775</v>
      </c>
      <c r="L2044">
        <v>30</v>
      </c>
      <c r="M2044">
        <v>323250</v>
      </c>
      <c r="N2044" t="s">
        <v>18</v>
      </c>
    </row>
    <row r="2045" spans="5:14" x14ac:dyDescent="0.35">
      <c r="E2045" t="s">
        <v>63</v>
      </c>
      <c r="F2045" t="s">
        <v>43</v>
      </c>
      <c r="G2045" t="s">
        <v>42</v>
      </c>
      <c r="H2045" t="s">
        <v>13</v>
      </c>
      <c r="I2045" t="s">
        <v>14</v>
      </c>
      <c r="J2045" t="s">
        <v>20</v>
      </c>
      <c r="K2045">
        <v>18297</v>
      </c>
      <c r="L2045">
        <v>15</v>
      </c>
      <c r="M2045">
        <v>274455</v>
      </c>
      <c r="N2045" t="s">
        <v>18</v>
      </c>
    </row>
    <row r="2046" spans="5:14" x14ac:dyDescent="0.35">
      <c r="E2046" t="s">
        <v>63</v>
      </c>
      <c r="F2046" t="s">
        <v>43</v>
      </c>
      <c r="G2046" t="s">
        <v>42</v>
      </c>
      <c r="H2046" t="s">
        <v>22</v>
      </c>
      <c r="I2046" t="s">
        <v>23</v>
      </c>
      <c r="J2046" t="s">
        <v>24</v>
      </c>
      <c r="K2046">
        <v>14638</v>
      </c>
      <c r="L2046">
        <v>2</v>
      </c>
      <c r="M2046">
        <v>29276</v>
      </c>
      <c r="N2046" t="s">
        <v>21</v>
      </c>
    </row>
    <row r="2047" spans="5:14" x14ac:dyDescent="0.35">
      <c r="E2047" t="s">
        <v>63</v>
      </c>
      <c r="F2047" t="s">
        <v>43</v>
      </c>
      <c r="G2047" t="s">
        <v>42</v>
      </c>
      <c r="H2047" t="s">
        <v>22</v>
      </c>
      <c r="I2047" t="s">
        <v>23</v>
      </c>
      <c r="J2047" t="s">
        <v>25</v>
      </c>
      <c r="K2047">
        <v>7138</v>
      </c>
      <c r="L2047">
        <v>2</v>
      </c>
      <c r="M2047">
        <v>14276</v>
      </c>
      <c r="N2047" t="s">
        <v>21</v>
      </c>
    </row>
    <row r="2048" spans="5:14" x14ac:dyDescent="0.35">
      <c r="E2048" t="s">
        <v>63</v>
      </c>
      <c r="F2048" t="s">
        <v>43</v>
      </c>
      <c r="G2048" t="s">
        <v>42</v>
      </c>
      <c r="H2048" t="s">
        <v>22</v>
      </c>
      <c r="I2048" t="s">
        <v>23</v>
      </c>
      <c r="J2048" t="s">
        <v>26</v>
      </c>
      <c r="K2048">
        <v>18679</v>
      </c>
      <c r="L2048">
        <v>5</v>
      </c>
      <c r="M2048">
        <v>93395</v>
      </c>
      <c r="N2048" t="s">
        <v>18</v>
      </c>
    </row>
    <row r="2049" spans="5:14" x14ac:dyDescent="0.35">
      <c r="E2049" t="s">
        <v>63</v>
      </c>
      <c r="F2049" t="s">
        <v>43</v>
      </c>
      <c r="G2049" t="s">
        <v>42</v>
      </c>
      <c r="H2049" t="s">
        <v>22</v>
      </c>
      <c r="I2049" t="s">
        <v>27</v>
      </c>
      <c r="J2049" t="s">
        <v>28</v>
      </c>
      <c r="K2049">
        <v>13141</v>
      </c>
      <c r="L2049">
        <v>3</v>
      </c>
      <c r="M2049">
        <v>39423</v>
      </c>
      <c r="N2049" t="s">
        <v>21</v>
      </c>
    </row>
    <row r="2050" spans="5:14" x14ac:dyDescent="0.35">
      <c r="E2050" t="s">
        <v>63</v>
      </c>
      <c r="F2050" t="s">
        <v>44</v>
      </c>
      <c r="G2050" t="s">
        <v>42</v>
      </c>
      <c r="H2050" t="s">
        <v>13</v>
      </c>
      <c r="I2050" t="s">
        <v>14</v>
      </c>
      <c r="J2050" t="s">
        <v>15</v>
      </c>
      <c r="K2050">
        <v>22377</v>
      </c>
      <c r="L2050">
        <v>10</v>
      </c>
      <c r="M2050">
        <v>223770</v>
      </c>
      <c r="N2050" t="s">
        <v>18</v>
      </c>
    </row>
    <row r="2051" spans="5:14" x14ac:dyDescent="0.35">
      <c r="E2051" t="s">
        <v>63</v>
      </c>
      <c r="F2051" t="s">
        <v>44</v>
      </c>
      <c r="G2051" t="s">
        <v>42</v>
      </c>
      <c r="H2051" t="s">
        <v>13</v>
      </c>
      <c r="I2051" t="s">
        <v>14</v>
      </c>
      <c r="J2051" t="s">
        <v>17</v>
      </c>
      <c r="K2051">
        <v>13867</v>
      </c>
      <c r="L2051">
        <v>20</v>
      </c>
      <c r="M2051">
        <v>277340</v>
      </c>
      <c r="N2051" t="s">
        <v>18</v>
      </c>
    </row>
    <row r="2052" spans="5:14" x14ac:dyDescent="0.35">
      <c r="E2052" t="s">
        <v>63</v>
      </c>
      <c r="F2052" t="s">
        <v>44</v>
      </c>
      <c r="G2052" t="s">
        <v>42</v>
      </c>
      <c r="H2052" t="s">
        <v>13</v>
      </c>
      <c r="I2052" t="s">
        <v>14</v>
      </c>
      <c r="J2052" t="s">
        <v>19</v>
      </c>
      <c r="K2052">
        <v>18095</v>
      </c>
      <c r="L2052">
        <v>30</v>
      </c>
      <c r="M2052">
        <v>542850</v>
      </c>
      <c r="N2052" t="s">
        <v>18</v>
      </c>
    </row>
    <row r="2053" spans="5:14" x14ac:dyDescent="0.35">
      <c r="E2053" t="s">
        <v>63</v>
      </c>
      <c r="F2053" t="s">
        <v>44</v>
      </c>
      <c r="G2053" t="s">
        <v>42</v>
      </c>
      <c r="H2053" t="s">
        <v>13</v>
      </c>
      <c r="I2053" t="s">
        <v>14</v>
      </c>
      <c r="J2053" t="s">
        <v>20</v>
      </c>
      <c r="K2053">
        <v>22955</v>
      </c>
      <c r="L2053">
        <v>15</v>
      </c>
      <c r="M2053">
        <v>344325</v>
      </c>
      <c r="N2053" t="s">
        <v>16</v>
      </c>
    </row>
    <row r="2054" spans="5:14" x14ac:dyDescent="0.35">
      <c r="E2054" t="s">
        <v>63</v>
      </c>
      <c r="F2054" t="s">
        <v>44</v>
      </c>
      <c r="G2054" t="s">
        <v>42</v>
      </c>
      <c r="H2054" t="s">
        <v>22</v>
      </c>
      <c r="I2054" t="s">
        <v>23</v>
      </c>
      <c r="J2054" t="s">
        <v>24</v>
      </c>
      <c r="K2054">
        <v>15803</v>
      </c>
      <c r="L2054">
        <v>2</v>
      </c>
      <c r="M2054">
        <v>31606</v>
      </c>
      <c r="N2054" t="s">
        <v>16</v>
      </c>
    </row>
    <row r="2055" spans="5:14" x14ac:dyDescent="0.35">
      <c r="E2055" t="s">
        <v>63</v>
      </c>
      <c r="F2055" t="s">
        <v>44</v>
      </c>
      <c r="G2055" t="s">
        <v>42</v>
      </c>
      <c r="H2055" t="s">
        <v>22</v>
      </c>
      <c r="I2055" t="s">
        <v>23</v>
      </c>
      <c r="J2055" t="s">
        <v>25</v>
      </c>
      <c r="K2055">
        <v>19571</v>
      </c>
      <c r="L2055">
        <v>2</v>
      </c>
      <c r="M2055">
        <v>39142</v>
      </c>
      <c r="N2055" t="s">
        <v>18</v>
      </c>
    </row>
    <row r="2056" spans="5:14" x14ac:dyDescent="0.35">
      <c r="E2056" t="s">
        <v>63</v>
      </c>
      <c r="F2056" t="s">
        <v>44</v>
      </c>
      <c r="G2056" t="s">
        <v>42</v>
      </c>
      <c r="H2056" t="s">
        <v>22</v>
      </c>
      <c r="I2056" t="s">
        <v>23</v>
      </c>
      <c r="J2056" t="s">
        <v>26</v>
      </c>
      <c r="K2056">
        <v>20906</v>
      </c>
      <c r="L2056">
        <v>5</v>
      </c>
      <c r="M2056">
        <v>104530</v>
      </c>
      <c r="N2056" t="s">
        <v>21</v>
      </c>
    </row>
    <row r="2057" spans="5:14" x14ac:dyDescent="0.35">
      <c r="E2057" t="s">
        <v>63</v>
      </c>
      <c r="F2057" t="s">
        <v>44</v>
      </c>
      <c r="G2057" t="s">
        <v>42</v>
      </c>
      <c r="H2057" t="s">
        <v>22</v>
      </c>
      <c r="I2057" t="s">
        <v>27</v>
      </c>
      <c r="J2057" t="s">
        <v>28</v>
      </c>
      <c r="K2057">
        <v>19199</v>
      </c>
      <c r="L2057">
        <v>3</v>
      </c>
      <c r="M2057">
        <v>57597</v>
      </c>
      <c r="N2057" t="s">
        <v>18</v>
      </c>
    </row>
    <row r="2058" spans="5:14" x14ac:dyDescent="0.35">
      <c r="E2058" t="s">
        <v>63</v>
      </c>
      <c r="F2058" t="s">
        <v>45</v>
      </c>
      <c r="G2058" t="s">
        <v>42</v>
      </c>
      <c r="H2058" t="s">
        <v>13</v>
      </c>
      <c r="I2058" t="s">
        <v>14</v>
      </c>
      <c r="J2058" t="s">
        <v>15</v>
      </c>
      <c r="K2058">
        <v>16546</v>
      </c>
      <c r="L2058">
        <v>10</v>
      </c>
      <c r="M2058">
        <v>165460</v>
      </c>
      <c r="N2058" t="s">
        <v>21</v>
      </c>
    </row>
    <row r="2059" spans="5:14" x14ac:dyDescent="0.35">
      <c r="E2059" t="s">
        <v>63</v>
      </c>
      <c r="F2059" t="s">
        <v>45</v>
      </c>
      <c r="G2059" t="s">
        <v>42</v>
      </c>
      <c r="H2059" t="s">
        <v>13</v>
      </c>
      <c r="I2059" t="s">
        <v>14</v>
      </c>
      <c r="J2059" t="s">
        <v>17</v>
      </c>
      <c r="K2059">
        <v>18840</v>
      </c>
      <c r="L2059">
        <v>20</v>
      </c>
      <c r="M2059">
        <v>376800</v>
      </c>
      <c r="N2059" t="s">
        <v>16</v>
      </c>
    </row>
    <row r="2060" spans="5:14" x14ac:dyDescent="0.35">
      <c r="E2060" t="s">
        <v>63</v>
      </c>
      <c r="F2060" t="s">
        <v>45</v>
      </c>
      <c r="G2060" t="s">
        <v>42</v>
      </c>
      <c r="H2060" t="s">
        <v>13</v>
      </c>
      <c r="I2060" t="s">
        <v>14</v>
      </c>
      <c r="J2060" t="s">
        <v>19</v>
      </c>
      <c r="K2060">
        <v>11299</v>
      </c>
      <c r="L2060">
        <v>30</v>
      </c>
      <c r="M2060">
        <v>338970</v>
      </c>
      <c r="N2060" t="s">
        <v>16</v>
      </c>
    </row>
    <row r="2061" spans="5:14" x14ac:dyDescent="0.35">
      <c r="E2061" t="s">
        <v>63</v>
      </c>
      <c r="F2061" t="s">
        <v>45</v>
      </c>
      <c r="G2061" t="s">
        <v>42</v>
      </c>
      <c r="H2061" t="s">
        <v>13</v>
      </c>
      <c r="I2061" t="s">
        <v>14</v>
      </c>
      <c r="J2061" t="s">
        <v>20</v>
      </c>
      <c r="K2061">
        <v>10556</v>
      </c>
      <c r="L2061">
        <v>15</v>
      </c>
      <c r="M2061">
        <v>158340</v>
      </c>
      <c r="N2061" t="s">
        <v>18</v>
      </c>
    </row>
    <row r="2062" spans="5:14" x14ac:dyDescent="0.35">
      <c r="E2062" t="s">
        <v>63</v>
      </c>
      <c r="F2062" t="s">
        <v>45</v>
      </c>
      <c r="G2062" t="s">
        <v>42</v>
      </c>
      <c r="H2062" t="s">
        <v>22</v>
      </c>
      <c r="I2062" t="s">
        <v>23</v>
      </c>
      <c r="J2062" t="s">
        <v>24</v>
      </c>
      <c r="K2062">
        <v>19749</v>
      </c>
      <c r="L2062">
        <v>2</v>
      </c>
      <c r="M2062">
        <v>39498</v>
      </c>
      <c r="N2062" t="s">
        <v>21</v>
      </c>
    </row>
    <row r="2063" spans="5:14" x14ac:dyDescent="0.35">
      <c r="E2063" t="s">
        <v>63</v>
      </c>
      <c r="F2063" t="s">
        <v>45</v>
      </c>
      <c r="G2063" t="s">
        <v>42</v>
      </c>
      <c r="H2063" t="s">
        <v>22</v>
      </c>
      <c r="I2063" t="s">
        <v>23</v>
      </c>
      <c r="J2063" t="s">
        <v>25</v>
      </c>
      <c r="K2063">
        <v>21233</v>
      </c>
      <c r="L2063">
        <v>2</v>
      </c>
      <c r="M2063">
        <v>42466</v>
      </c>
      <c r="N2063" t="s">
        <v>16</v>
      </c>
    </row>
    <row r="2064" spans="5:14" x14ac:dyDescent="0.35">
      <c r="E2064" t="s">
        <v>63</v>
      </c>
      <c r="F2064" t="s">
        <v>45</v>
      </c>
      <c r="G2064" t="s">
        <v>42</v>
      </c>
      <c r="H2064" t="s">
        <v>22</v>
      </c>
      <c r="I2064" t="s">
        <v>23</v>
      </c>
      <c r="J2064" t="s">
        <v>26</v>
      </c>
      <c r="K2064">
        <v>8768</v>
      </c>
      <c r="L2064">
        <v>5</v>
      </c>
      <c r="M2064">
        <v>43840</v>
      </c>
      <c r="N2064" t="s">
        <v>16</v>
      </c>
    </row>
    <row r="2065" spans="5:14" x14ac:dyDescent="0.35">
      <c r="E2065" t="s">
        <v>63</v>
      </c>
      <c r="F2065" t="s">
        <v>45</v>
      </c>
      <c r="G2065" t="s">
        <v>42</v>
      </c>
      <c r="H2065" t="s">
        <v>22</v>
      </c>
      <c r="I2065" t="s">
        <v>27</v>
      </c>
      <c r="J2065" t="s">
        <v>28</v>
      </c>
      <c r="K2065">
        <v>17943</v>
      </c>
      <c r="L2065">
        <v>3</v>
      </c>
      <c r="M2065">
        <v>53829</v>
      </c>
      <c r="N2065" t="s">
        <v>16</v>
      </c>
    </row>
    <row r="2066" spans="5:14" x14ac:dyDescent="0.35">
      <c r="E2066" t="s">
        <v>63</v>
      </c>
      <c r="F2066" t="s">
        <v>46</v>
      </c>
      <c r="G2066" t="s">
        <v>42</v>
      </c>
      <c r="H2066" t="s">
        <v>13</v>
      </c>
      <c r="I2066" t="s">
        <v>14</v>
      </c>
      <c r="J2066" t="s">
        <v>15</v>
      </c>
      <c r="K2066">
        <v>9126</v>
      </c>
      <c r="L2066">
        <v>10</v>
      </c>
      <c r="M2066">
        <v>91260</v>
      </c>
      <c r="N2066" t="s">
        <v>18</v>
      </c>
    </row>
    <row r="2067" spans="5:14" x14ac:dyDescent="0.35">
      <c r="E2067" t="s">
        <v>63</v>
      </c>
      <c r="F2067" t="s">
        <v>46</v>
      </c>
      <c r="G2067" t="s">
        <v>42</v>
      </c>
      <c r="H2067" t="s">
        <v>13</v>
      </c>
      <c r="I2067" t="s">
        <v>14</v>
      </c>
      <c r="J2067" t="s">
        <v>17</v>
      </c>
      <c r="K2067">
        <v>14614</v>
      </c>
      <c r="L2067">
        <v>20</v>
      </c>
      <c r="M2067">
        <v>292280</v>
      </c>
      <c r="N2067" t="s">
        <v>16</v>
      </c>
    </row>
    <row r="2068" spans="5:14" x14ac:dyDescent="0.35">
      <c r="E2068" t="s">
        <v>63</v>
      </c>
      <c r="F2068" t="s">
        <v>46</v>
      </c>
      <c r="G2068" t="s">
        <v>42</v>
      </c>
      <c r="H2068" t="s">
        <v>13</v>
      </c>
      <c r="I2068" t="s">
        <v>14</v>
      </c>
      <c r="J2068" t="s">
        <v>19</v>
      </c>
      <c r="K2068">
        <v>6772</v>
      </c>
      <c r="L2068">
        <v>30</v>
      </c>
      <c r="M2068">
        <v>203160</v>
      </c>
      <c r="N2068" t="s">
        <v>16</v>
      </c>
    </row>
    <row r="2069" spans="5:14" x14ac:dyDescent="0.35">
      <c r="E2069" t="s">
        <v>63</v>
      </c>
      <c r="F2069" t="s">
        <v>46</v>
      </c>
      <c r="G2069" t="s">
        <v>42</v>
      </c>
      <c r="H2069" t="s">
        <v>13</v>
      </c>
      <c r="I2069" t="s">
        <v>14</v>
      </c>
      <c r="J2069" t="s">
        <v>20</v>
      </c>
      <c r="K2069">
        <v>12979</v>
      </c>
      <c r="L2069">
        <v>15</v>
      </c>
      <c r="M2069">
        <v>194685</v>
      </c>
      <c r="N2069" t="s">
        <v>21</v>
      </c>
    </row>
    <row r="2070" spans="5:14" x14ac:dyDescent="0.35">
      <c r="E2070" t="s">
        <v>63</v>
      </c>
      <c r="F2070" t="s">
        <v>46</v>
      </c>
      <c r="G2070" t="s">
        <v>42</v>
      </c>
      <c r="H2070" t="s">
        <v>22</v>
      </c>
      <c r="I2070" t="s">
        <v>23</v>
      </c>
      <c r="J2070" t="s">
        <v>24</v>
      </c>
      <c r="K2070">
        <v>12440</v>
      </c>
      <c r="L2070">
        <v>2</v>
      </c>
      <c r="M2070">
        <v>24880</v>
      </c>
      <c r="N2070" t="s">
        <v>18</v>
      </c>
    </row>
    <row r="2071" spans="5:14" x14ac:dyDescent="0.35">
      <c r="E2071" t="s">
        <v>63</v>
      </c>
      <c r="F2071" t="s">
        <v>46</v>
      </c>
      <c r="G2071" t="s">
        <v>42</v>
      </c>
      <c r="H2071" t="s">
        <v>22</v>
      </c>
      <c r="I2071" t="s">
        <v>23</v>
      </c>
      <c r="J2071" t="s">
        <v>25</v>
      </c>
      <c r="K2071">
        <v>7588</v>
      </c>
      <c r="L2071">
        <v>2</v>
      </c>
      <c r="M2071">
        <v>15176</v>
      </c>
      <c r="N2071" t="s">
        <v>21</v>
      </c>
    </row>
    <row r="2072" spans="5:14" x14ac:dyDescent="0.35">
      <c r="E2072" t="s">
        <v>63</v>
      </c>
      <c r="F2072" t="s">
        <v>46</v>
      </c>
      <c r="G2072" t="s">
        <v>42</v>
      </c>
      <c r="H2072" t="s">
        <v>22</v>
      </c>
      <c r="I2072" t="s">
        <v>23</v>
      </c>
      <c r="J2072" t="s">
        <v>26</v>
      </c>
      <c r="K2072">
        <v>18779</v>
      </c>
      <c r="L2072">
        <v>5</v>
      </c>
      <c r="M2072">
        <v>93895</v>
      </c>
      <c r="N2072" t="s">
        <v>18</v>
      </c>
    </row>
    <row r="2073" spans="5:14" x14ac:dyDescent="0.35">
      <c r="E2073" t="s">
        <v>63</v>
      </c>
      <c r="F2073" t="s">
        <v>46</v>
      </c>
      <c r="G2073" t="s">
        <v>42</v>
      </c>
      <c r="H2073" t="s">
        <v>22</v>
      </c>
      <c r="I2073" t="s">
        <v>27</v>
      </c>
      <c r="J2073" t="s">
        <v>28</v>
      </c>
      <c r="K2073">
        <v>19599</v>
      </c>
      <c r="L2073">
        <v>3</v>
      </c>
      <c r="M2073">
        <v>58797</v>
      </c>
      <c r="N2073" t="s">
        <v>16</v>
      </c>
    </row>
    <row r="2074" spans="5:14" x14ac:dyDescent="0.35">
      <c r="E2074" t="s">
        <v>63</v>
      </c>
      <c r="F2074" t="s">
        <v>47</v>
      </c>
      <c r="G2074" t="s">
        <v>48</v>
      </c>
      <c r="H2074" t="s">
        <v>13</v>
      </c>
      <c r="I2074" t="s">
        <v>14</v>
      </c>
      <c r="J2074" t="s">
        <v>15</v>
      </c>
      <c r="K2074">
        <v>14231</v>
      </c>
      <c r="L2074">
        <v>10</v>
      </c>
      <c r="M2074">
        <v>142310</v>
      </c>
      <c r="N2074" t="s">
        <v>18</v>
      </c>
    </row>
    <row r="2075" spans="5:14" x14ac:dyDescent="0.35">
      <c r="E2075" t="s">
        <v>63</v>
      </c>
      <c r="F2075" t="s">
        <v>47</v>
      </c>
      <c r="G2075" t="s">
        <v>48</v>
      </c>
      <c r="H2075" t="s">
        <v>13</v>
      </c>
      <c r="I2075" t="s">
        <v>14</v>
      </c>
      <c r="J2075" t="s">
        <v>17</v>
      </c>
      <c r="K2075">
        <v>14215</v>
      </c>
      <c r="L2075">
        <v>20</v>
      </c>
      <c r="M2075">
        <v>284300</v>
      </c>
      <c r="N2075" t="s">
        <v>21</v>
      </c>
    </row>
    <row r="2076" spans="5:14" x14ac:dyDescent="0.35">
      <c r="E2076" t="s">
        <v>63</v>
      </c>
      <c r="F2076" t="s">
        <v>47</v>
      </c>
      <c r="G2076" t="s">
        <v>48</v>
      </c>
      <c r="H2076" t="s">
        <v>13</v>
      </c>
      <c r="I2076" t="s">
        <v>14</v>
      </c>
      <c r="J2076" t="s">
        <v>19</v>
      </c>
      <c r="K2076">
        <v>8729</v>
      </c>
      <c r="L2076">
        <v>30</v>
      </c>
      <c r="M2076">
        <v>261870</v>
      </c>
      <c r="N2076" t="s">
        <v>16</v>
      </c>
    </row>
    <row r="2077" spans="5:14" x14ac:dyDescent="0.35">
      <c r="E2077" t="s">
        <v>63</v>
      </c>
      <c r="F2077" t="s">
        <v>47</v>
      </c>
      <c r="G2077" t="s">
        <v>48</v>
      </c>
      <c r="H2077" t="s">
        <v>13</v>
      </c>
      <c r="I2077" t="s">
        <v>14</v>
      </c>
      <c r="J2077" t="s">
        <v>20</v>
      </c>
      <c r="K2077">
        <v>11125</v>
      </c>
      <c r="L2077">
        <v>15</v>
      </c>
      <c r="M2077">
        <v>166875</v>
      </c>
      <c r="N2077" t="s">
        <v>21</v>
      </c>
    </row>
    <row r="2078" spans="5:14" x14ac:dyDescent="0.35">
      <c r="E2078" t="s">
        <v>63</v>
      </c>
      <c r="F2078" t="s">
        <v>47</v>
      </c>
      <c r="G2078" t="s">
        <v>48</v>
      </c>
      <c r="H2078" t="s">
        <v>22</v>
      </c>
      <c r="I2078" t="s">
        <v>23</v>
      </c>
      <c r="J2078" t="s">
        <v>24</v>
      </c>
      <c r="K2078">
        <v>16196</v>
      </c>
      <c r="L2078">
        <v>2</v>
      </c>
      <c r="M2078">
        <v>32392</v>
      </c>
      <c r="N2078" t="s">
        <v>16</v>
      </c>
    </row>
    <row r="2079" spans="5:14" x14ac:dyDescent="0.35">
      <c r="E2079" t="s">
        <v>63</v>
      </c>
      <c r="F2079" t="s">
        <v>47</v>
      </c>
      <c r="G2079" t="s">
        <v>48</v>
      </c>
      <c r="H2079" t="s">
        <v>22</v>
      </c>
      <c r="I2079" t="s">
        <v>23</v>
      </c>
      <c r="J2079" t="s">
        <v>25</v>
      </c>
      <c r="K2079">
        <v>20546</v>
      </c>
      <c r="L2079">
        <v>2</v>
      </c>
      <c r="M2079">
        <v>41092</v>
      </c>
      <c r="N2079" t="s">
        <v>16</v>
      </c>
    </row>
    <row r="2080" spans="5:14" x14ac:dyDescent="0.35">
      <c r="E2080" t="s">
        <v>63</v>
      </c>
      <c r="F2080" t="s">
        <v>47</v>
      </c>
      <c r="G2080" t="s">
        <v>48</v>
      </c>
      <c r="H2080" t="s">
        <v>22</v>
      </c>
      <c r="I2080" t="s">
        <v>23</v>
      </c>
      <c r="J2080" t="s">
        <v>26</v>
      </c>
      <c r="K2080">
        <v>12995</v>
      </c>
      <c r="L2080">
        <v>5</v>
      </c>
      <c r="M2080">
        <v>64975</v>
      </c>
      <c r="N2080" t="s">
        <v>18</v>
      </c>
    </row>
    <row r="2081" spans="5:14" x14ac:dyDescent="0.35">
      <c r="E2081" t="s">
        <v>63</v>
      </c>
      <c r="F2081" t="s">
        <v>47</v>
      </c>
      <c r="G2081" t="s">
        <v>48</v>
      </c>
      <c r="H2081" t="s">
        <v>22</v>
      </c>
      <c r="I2081" t="s">
        <v>27</v>
      </c>
      <c r="J2081" t="s">
        <v>28</v>
      </c>
      <c r="K2081">
        <v>14953</v>
      </c>
      <c r="L2081">
        <v>3</v>
      </c>
      <c r="M2081">
        <v>44859</v>
      </c>
      <c r="N2081" t="s">
        <v>16</v>
      </c>
    </row>
    <row r="2082" spans="5:14" x14ac:dyDescent="0.35">
      <c r="E2082" t="s">
        <v>63</v>
      </c>
      <c r="F2082" t="s">
        <v>49</v>
      </c>
      <c r="G2082" t="s">
        <v>48</v>
      </c>
      <c r="H2082" t="s">
        <v>13</v>
      </c>
      <c r="I2082" t="s">
        <v>14</v>
      </c>
      <c r="J2082" t="s">
        <v>15</v>
      </c>
      <c r="K2082">
        <v>17100</v>
      </c>
      <c r="L2082">
        <v>10</v>
      </c>
      <c r="M2082">
        <v>171000</v>
      </c>
      <c r="N2082" t="s">
        <v>18</v>
      </c>
    </row>
    <row r="2083" spans="5:14" x14ac:dyDescent="0.35">
      <c r="E2083" t="s">
        <v>63</v>
      </c>
      <c r="F2083" t="s">
        <v>49</v>
      </c>
      <c r="G2083" t="s">
        <v>48</v>
      </c>
      <c r="H2083" t="s">
        <v>13</v>
      </c>
      <c r="I2083" t="s">
        <v>14</v>
      </c>
      <c r="J2083" t="s">
        <v>17</v>
      </c>
      <c r="K2083">
        <v>10217</v>
      </c>
      <c r="L2083">
        <v>20</v>
      </c>
      <c r="M2083">
        <v>204340</v>
      </c>
      <c r="N2083" t="s">
        <v>18</v>
      </c>
    </row>
    <row r="2084" spans="5:14" x14ac:dyDescent="0.35">
      <c r="E2084" t="s">
        <v>63</v>
      </c>
      <c r="F2084" t="s">
        <v>49</v>
      </c>
      <c r="G2084" t="s">
        <v>48</v>
      </c>
      <c r="H2084" t="s">
        <v>13</v>
      </c>
      <c r="I2084" t="s">
        <v>14</v>
      </c>
      <c r="J2084" t="s">
        <v>19</v>
      </c>
      <c r="K2084">
        <v>12898</v>
      </c>
      <c r="L2084">
        <v>30</v>
      </c>
      <c r="M2084">
        <v>386940</v>
      </c>
      <c r="N2084" t="s">
        <v>16</v>
      </c>
    </row>
    <row r="2085" spans="5:14" x14ac:dyDescent="0.35">
      <c r="E2085" t="s">
        <v>63</v>
      </c>
      <c r="F2085" t="s">
        <v>49</v>
      </c>
      <c r="G2085" t="s">
        <v>48</v>
      </c>
      <c r="H2085" t="s">
        <v>13</v>
      </c>
      <c r="I2085" t="s">
        <v>14</v>
      </c>
      <c r="J2085" t="s">
        <v>20</v>
      </c>
      <c r="K2085">
        <v>18935</v>
      </c>
      <c r="L2085">
        <v>15</v>
      </c>
      <c r="M2085">
        <v>284025</v>
      </c>
      <c r="N2085" t="s">
        <v>18</v>
      </c>
    </row>
    <row r="2086" spans="5:14" x14ac:dyDescent="0.35">
      <c r="E2086" t="s">
        <v>63</v>
      </c>
      <c r="F2086" t="s">
        <v>49</v>
      </c>
      <c r="G2086" t="s">
        <v>48</v>
      </c>
      <c r="H2086" t="s">
        <v>22</v>
      </c>
      <c r="I2086" t="s">
        <v>23</v>
      </c>
      <c r="J2086" t="s">
        <v>24</v>
      </c>
      <c r="K2086">
        <v>10711</v>
      </c>
      <c r="L2086">
        <v>2</v>
      </c>
      <c r="M2086">
        <v>21422</v>
      </c>
      <c r="N2086" t="s">
        <v>16</v>
      </c>
    </row>
    <row r="2087" spans="5:14" x14ac:dyDescent="0.35">
      <c r="E2087" t="s">
        <v>63</v>
      </c>
      <c r="F2087" t="s">
        <v>49</v>
      </c>
      <c r="G2087" t="s">
        <v>48</v>
      </c>
      <c r="H2087" t="s">
        <v>22</v>
      </c>
      <c r="I2087" t="s">
        <v>23</v>
      </c>
      <c r="J2087" t="s">
        <v>25</v>
      </c>
      <c r="K2087">
        <v>15549</v>
      </c>
      <c r="L2087">
        <v>2</v>
      </c>
      <c r="M2087">
        <v>31098</v>
      </c>
      <c r="N2087" t="s">
        <v>18</v>
      </c>
    </row>
    <row r="2088" spans="5:14" x14ac:dyDescent="0.35">
      <c r="E2088" t="s">
        <v>63</v>
      </c>
      <c r="F2088" t="s">
        <v>49</v>
      </c>
      <c r="G2088" t="s">
        <v>48</v>
      </c>
      <c r="H2088" t="s">
        <v>22</v>
      </c>
      <c r="I2088" t="s">
        <v>23</v>
      </c>
      <c r="J2088" t="s">
        <v>26</v>
      </c>
      <c r="K2088">
        <v>15103</v>
      </c>
      <c r="L2088">
        <v>5</v>
      </c>
      <c r="M2088">
        <v>75515</v>
      </c>
      <c r="N2088" t="s">
        <v>16</v>
      </c>
    </row>
    <row r="2089" spans="5:14" x14ac:dyDescent="0.35">
      <c r="E2089" t="s">
        <v>63</v>
      </c>
      <c r="F2089" t="s">
        <v>49</v>
      </c>
      <c r="G2089" t="s">
        <v>48</v>
      </c>
      <c r="H2089" t="s">
        <v>22</v>
      </c>
      <c r="I2089" t="s">
        <v>27</v>
      </c>
      <c r="J2089" t="s">
        <v>28</v>
      </c>
      <c r="K2089">
        <v>21542</v>
      </c>
      <c r="L2089">
        <v>3</v>
      </c>
      <c r="M2089">
        <v>64626</v>
      </c>
      <c r="N2089" t="s">
        <v>16</v>
      </c>
    </row>
    <row r="2090" spans="5:14" x14ac:dyDescent="0.35">
      <c r="E2090" t="s">
        <v>63</v>
      </c>
      <c r="F2090" t="s">
        <v>50</v>
      </c>
      <c r="G2090" t="s">
        <v>48</v>
      </c>
      <c r="H2090" t="s">
        <v>13</v>
      </c>
      <c r="I2090" t="s">
        <v>14</v>
      </c>
      <c r="J2090" t="s">
        <v>15</v>
      </c>
      <c r="K2090">
        <v>14852</v>
      </c>
      <c r="L2090">
        <v>10</v>
      </c>
      <c r="M2090">
        <v>148520</v>
      </c>
      <c r="N2090" t="s">
        <v>21</v>
      </c>
    </row>
    <row r="2091" spans="5:14" x14ac:dyDescent="0.35">
      <c r="E2091" t="s">
        <v>63</v>
      </c>
      <c r="F2091" t="s">
        <v>50</v>
      </c>
      <c r="G2091" t="s">
        <v>48</v>
      </c>
      <c r="H2091" t="s">
        <v>13</v>
      </c>
      <c r="I2091" t="s">
        <v>14</v>
      </c>
      <c r="J2091" t="s">
        <v>17</v>
      </c>
      <c r="K2091">
        <v>11309</v>
      </c>
      <c r="L2091">
        <v>20</v>
      </c>
      <c r="M2091">
        <v>226180</v>
      </c>
      <c r="N2091" t="s">
        <v>16</v>
      </c>
    </row>
    <row r="2092" spans="5:14" x14ac:dyDescent="0.35">
      <c r="E2092" t="s">
        <v>63</v>
      </c>
      <c r="F2092" t="s">
        <v>50</v>
      </c>
      <c r="G2092" t="s">
        <v>48</v>
      </c>
      <c r="H2092" t="s">
        <v>13</v>
      </c>
      <c r="I2092" t="s">
        <v>14</v>
      </c>
      <c r="J2092" t="s">
        <v>19</v>
      </c>
      <c r="K2092">
        <v>9547</v>
      </c>
      <c r="L2092">
        <v>30</v>
      </c>
      <c r="M2092">
        <v>286410</v>
      </c>
      <c r="N2092" t="s">
        <v>16</v>
      </c>
    </row>
    <row r="2093" spans="5:14" x14ac:dyDescent="0.35">
      <c r="E2093" t="s">
        <v>63</v>
      </c>
      <c r="F2093" t="s">
        <v>50</v>
      </c>
      <c r="G2093" t="s">
        <v>48</v>
      </c>
      <c r="H2093" t="s">
        <v>13</v>
      </c>
      <c r="I2093" t="s">
        <v>14</v>
      </c>
      <c r="J2093" t="s">
        <v>20</v>
      </c>
      <c r="K2093">
        <v>9362</v>
      </c>
      <c r="L2093">
        <v>15</v>
      </c>
      <c r="M2093">
        <v>140430</v>
      </c>
      <c r="N2093" t="s">
        <v>18</v>
      </c>
    </row>
    <row r="2094" spans="5:14" x14ac:dyDescent="0.35">
      <c r="E2094" t="s">
        <v>63</v>
      </c>
      <c r="F2094" t="s">
        <v>50</v>
      </c>
      <c r="G2094" t="s">
        <v>48</v>
      </c>
      <c r="H2094" t="s">
        <v>22</v>
      </c>
      <c r="I2094" t="s">
        <v>23</v>
      </c>
      <c r="J2094" t="s">
        <v>24</v>
      </c>
      <c r="K2094">
        <v>16313</v>
      </c>
      <c r="L2094">
        <v>2</v>
      </c>
      <c r="M2094">
        <v>32626</v>
      </c>
      <c r="N2094" t="s">
        <v>18</v>
      </c>
    </row>
    <row r="2095" spans="5:14" x14ac:dyDescent="0.35">
      <c r="E2095" t="s">
        <v>63</v>
      </c>
      <c r="F2095" t="s">
        <v>50</v>
      </c>
      <c r="G2095" t="s">
        <v>48</v>
      </c>
      <c r="H2095" t="s">
        <v>22</v>
      </c>
      <c r="I2095" t="s">
        <v>23</v>
      </c>
      <c r="J2095" t="s">
        <v>25</v>
      </c>
      <c r="K2095">
        <v>16339</v>
      </c>
      <c r="L2095">
        <v>2</v>
      </c>
      <c r="M2095">
        <v>32678</v>
      </c>
      <c r="N2095" t="s">
        <v>18</v>
      </c>
    </row>
    <row r="2096" spans="5:14" x14ac:dyDescent="0.35">
      <c r="E2096" t="s">
        <v>63</v>
      </c>
      <c r="F2096" t="s">
        <v>50</v>
      </c>
      <c r="G2096" t="s">
        <v>48</v>
      </c>
      <c r="H2096" t="s">
        <v>22</v>
      </c>
      <c r="I2096" t="s">
        <v>23</v>
      </c>
      <c r="J2096" t="s">
        <v>26</v>
      </c>
      <c r="K2096">
        <v>15762</v>
      </c>
      <c r="L2096">
        <v>5</v>
      </c>
      <c r="M2096">
        <v>78810</v>
      </c>
      <c r="N2096" t="s">
        <v>16</v>
      </c>
    </row>
    <row r="2097" spans="5:14" x14ac:dyDescent="0.35">
      <c r="E2097" t="s">
        <v>63</v>
      </c>
      <c r="F2097" t="s">
        <v>50</v>
      </c>
      <c r="G2097" t="s">
        <v>48</v>
      </c>
      <c r="H2097" t="s">
        <v>22</v>
      </c>
      <c r="I2097" t="s">
        <v>27</v>
      </c>
      <c r="J2097" t="s">
        <v>28</v>
      </c>
      <c r="K2097">
        <v>10178</v>
      </c>
      <c r="L2097">
        <v>3</v>
      </c>
      <c r="M2097">
        <v>30534</v>
      </c>
      <c r="N2097" t="s">
        <v>16</v>
      </c>
    </row>
    <row r="2098" spans="5:14" x14ac:dyDescent="0.35">
      <c r="E2098" t="s">
        <v>63</v>
      </c>
      <c r="F2098" t="s">
        <v>51</v>
      </c>
      <c r="G2098" t="s">
        <v>48</v>
      </c>
      <c r="H2098" t="s">
        <v>13</v>
      </c>
      <c r="I2098" t="s">
        <v>14</v>
      </c>
      <c r="J2098" t="s">
        <v>15</v>
      </c>
      <c r="K2098">
        <v>22794</v>
      </c>
      <c r="L2098">
        <v>10</v>
      </c>
      <c r="M2098">
        <v>227940</v>
      </c>
      <c r="N2098" t="s">
        <v>16</v>
      </c>
    </row>
    <row r="2099" spans="5:14" x14ac:dyDescent="0.35">
      <c r="E2099" t="s">
        <v>63</v>
      </c>
      <c r="F2099" t="s">
        <v>51</v>
      </c>
      <c r="G2099" t="s">
        <v>48</v>
      </c>
      <c r="H2099" t="s">
        <v>13</v>
      </c>
      <c r="I2099" t="s">
        <v>14</v>
      </c>
      <c r="J2099" t="s">
        <v>17</v>
      </c>
      <c r="K2099">
        <v>13258</v>
      </c>
      <c r="L2099">
        <v>20</v>
      </c>
      <c r="M2099">
        <v>265160</v>
      </c>
      <c r="N2099" t="s">
        <v>16</v>
      </c>
    </row>
    <row r="2100" spans="5:14" x14ac:dyDescent="0.35">
      <c r="E2100" t="s">
        <v>63</v>
      </c>
      <c r="F2100" t="s">
        <v>51</v>
      </c>
      <c r="G2100" t="s">
        <v>48</v>
      </c>
      <c r="H2100" t="s">
        <v>13</v>
      </c>
      <c r="I2100" t="s">
        <v>14</v>
      </c>
      <c r="J2100" t="s">
        <v>19</v>
      </c>
      <c r="K2100">
        <v>8229</v>
      </c>
      <c r="L2100">
        <v>30</v>
      </c>
      <c r="M2100">
        <v>246870</v>
      </c>
      <c r="N2100" t="s">
        <v>21</v>
      </c>
    </row>
    <row r="2101" spans="5:14" x14ac:dyDescent="0.35">
      <c r="E2101" t="s">
        <v>63</v>
      </c>
      <c r="F2101" t="s">
        <v>51</v>
      </c>
      <c r="G2101" t="s">
        <v>48</v>
      </c>
      <c r="H2101" t="s">
        <v>13</v>
      </c>
      <c r="I2101" t="s">
        <v>14</v>
      </c>
      <c r="J2101" t="s">
        <v>20</v>
      </c>
      <c r="K2101">
        <v>17586</v>
      </c>
      <c r="L2101">
        <v>15</v>
      </c>
      <c r="M2101">
        <v>263790</v>
      </c>
      <c r="N2101" t="s">
        <v>21</v>
      </c>
    </row>
    <row r="2102" spans="5:14" x14ac:dyDescent="0.35">
      <c r="E2102" t="s">
        <v>63</v>
      </c>
      <c r="F2102" t="s">
        <v>51</v>
      </c>
      <c r="G2102" t="s">
        <v>48</v>
      </c>
      <c r="H2102" t="s">
        <v>22</v>
      </c>
      <c r="I2102" t="s">
        <v>23</v>
      </c>
      <c r="J2102" t="s">
        <v>24</v>
      </c>
      <c r="K2102">
        <v>16213</v>
      </c>
      <c r="L2102">
        <v>2</v>
      </c>
      <c r="M2102">
        <v>32426</v>
      </c>
      <c r="N2102" t="s">
        <v>21</v>
      </c>
    </row>
    <row r="2103" spans="5:14" x14ac:dyDescent="0.35">
      <c r="E2103" t="s">
        <v>63</v>
      </c>
      <c r="F2103" t="s">
        <v>51</v>
      </c>
      <c r="G2103" t="s">
        <v>48</v>
      </c>
      <c r="H2103" t="s">
        <v>22</v>
      </c>
      <c r="I2103" t="s">
        <v>23</v>
      </c>
      <c r="J2103" t="s">
        <v>25</v>
      </c>
      <c r="K2103">
        <v>19475</v>
      </c>
      <c r="L2103">
        <v>2</v>
      </c>
      <c r="M2103">
        <v>38950</v>
      </c>
      <c r="N2103" t="s">
        <v>16</v>
      </c>
    </row>
    <row r="2104" spans="5:14" x14ac:dyDescent="0.35">
      <c r="E2104" t="s">
        <v>63</v>
      </c>
      <c r="F2104" t="s">
        <v>51</v>
      </c>
      <c r="G2104" t="s">
        <v>48</v>
      </c>
      <c r="H2104" t="s">
        <v>22</v>
      </c>
      <c r="I2104" t="s">
        <v>23</v>
      </c>
      <c r="J2104" t="s">
        <v>26</v>
      </c>
      <c r="K2104">
        <v>17651</v>
      </c>
      <c r="L2104">
        <v>5</v>
      </c>
      <c r="M2104">
        <v>88255</v>
      </c>
      <c r="N2104" t="s">
        <v>16</v>
      </c>
    </row>
    <row r="2105" spans="5:14" x14ac:dyDescent="0.35">
      <c r="E2105" t="s">
        <v>63</v>
      </c>
      <c r="F2105" t="s">
        <v>51</v>
      </c>
      <c r="G2105" t="s">
        <v>48</v>
      </c>
      <c r="H2105" t="s">
        <v>22</v>
      </c>
      <c r="I2105" t="s">
        <v>27</v>
      </c>
      <c r="J2105" t="s">
        <v>28</v>
      </c>
      <c r="K2105">
        <v>14331</v>
      </c>
      <c r="L2105">
        <v>3</v>
      </c>
      <c r="M2105">
        <v>42993</v>
      </c>
      <c r="N2105" t="s">
        <v>21</v>
      </c>
    </row>
    <row r="2106" spans="5:14" x14ac:dyDescent="0.35">
      <c r="E2106" t="s">
        <v>63</v>
      </c>
      <c r="F2106" t="s">
        <v>52</v>
      </c>
      <c r="G2106" t="s">
        <v>48</v>
      </c>
      <c r="H2106" t="s">
        <v>13</v>
      </c>
      <c r="I2106" t="s">
        <v>14</v>
      </c>
      <c r="J2106" t="s">
        <v>15</v>
      </c>
      <c r="K2106">
        <v>13935</v>
      </c>
      <c r="L2106">
        <v>10</v>
      </c>
      <c r="M2106">
        <v>139350</v>
      </c>
      <c r="N2106" t="s">
        <v>21</v>
      </c>
    </row>
    <row r="2107" spans="5:14" x14ac:dyDescent="0.35">
      <c r="E2107" t="s">
        <v>63</v>
      </c>
      <c r="F2107" t="s">
        <v>52</v>
      </c>
      <c r="G2107" t="s">
        <v>48</v>
      </c>
      <c r="H2107" t="s">
        <v>13</v>
      </c>
      <c r="I2107" t="s">
        <v>14</v>
      </c>
      <c r="J2107" t="s">
        <v>17</v>
      </c>
      <c r="K2107">
        <v>16757</v>
      </c>
      <c r="L2107">
        <v>20</v>
      </c>
      <c r="M2107">
        <v>335140</v>
      </c>
      <c r="N2107" t="s">
        <v>16</v>
      </c>
    </row>
    <row r="2108" spans="5:14" x14ac:dyDescent="0.35">
      <c r="E2108" t="s">
        <v>63</v>
      </c>
      <c r="F2108" t="s">
        <v>52</v>
      </c>
      <c r="G2108" t="s">
        <v>48</v>
      </c>
      <c r="H2108" t="s">
        <v>13</v>
      </c>
      <c r="I2108" t="s">
        <v>14</v>
      </c>
      <c r="J2108" t="s">
        <v>19</v>
      </c>
      <c r="K2108">
        <v>18693</v>
      </c>
      <c r="L2108">
        <v>30</v>
      </c>
      <c r="M2108">
        <v>560790</v>
      </c>
      <c r="N2108" t="s">
        <v>21</v>
      </c>
    </row>
    <row r="2109" spans="5:14" x14ac:dyDescent="0.35">
      <c r="E2109" t="s">
        <v>63</v>
      </c>
      <c r="F2109" t="s">
        <v>52</v>
      </c>
      <c r="G2109" t="s">
        <v>48</v>
      </c>
      <c r="H2109" t="s">
        <v>13</v>
      </c>
      <c r="I2109" t="s">
        <v>14</v>
      </c>
      <c r="J2109" t="s">
        <v>20</v>
      </c>
      <c r="K2109">
        <v>9619</v>
      </c>
      <c r="L2109">
        <v>15</v>
      </c>
      <c r="M2109">
        <v>144285</v>
      </c>
      <c r="N2109" t="s">
        <v>21</v>
      </c>
    </row>
    <row r="2110" spans="5:14" x14ac:dyDescent="0.35">
      <c r="E2110" t="s">
        <v>63</v>
      </c>
      <c r="F2110" t="s">
        <v>52</v>
      </c>
      <c r="G2110" t="s">
        <v>48</v>
      </c>
      <c r="H2110" t="s">
        <v>22</v>
      </c>
      <c r="I2110" t="s">
        <v>23</v>
      </c>
      <c r="J2110" t="s">
        <v>24</v>
      </c>
      <c r="K2110">
        <v>15678</v>
      </c>
      <c r="L2110">
        <v>2</v>
      </c>
      <c r="M2110">
        <v>31356</v>
      </c>
      <c r="N2110" t="s">
        <v>18</v>
      </c>
    </row>
    <row r="2111" spans="5:14" x14ac:dyDescent="0.35">
      <c r="E2111" t="s">
        <v>63</v>
      </c>
      <c r="F2111" t="s">
        <v>52</v>
      </c>
      <c r="G2111" t="s">
        <v>48</v>
      </c>
      <c r="H2111" t="s">
        <v>22</v>
      </c>
      <c r="I2111" t="s">
        <v>23</v>
      </c>
      <c r="J2111" t="s">
        <v>25</v>
      </c>
      <c r="K2111">
        <v>18722</v>
      </c>
      <c r="L2111">
        <v>2</v>
      </c>
      <c r="M2111">
        <v>37444</v>
      </c>
      <c r="N2111" t="s">
        <v>18</v>
      </c>
    </row>
    <row r="2112" spans="5:14" x14ac:dyDescent="0.35">
      <c r="E2112" t="s">
        <v>63</v>
      </c>
      <c r="F2112" t="s">
        <v>52</v>
      </c>
      <c r="G2112" t="s">
        <v>48</v>
      </c>
      <c r="H2112" t="s">
        <v>22</v>
      </c>
      <c r="I2112" t="s">
        <v>23</v>
      </c>
      <c r="J2112" t="s">
        <v>26</v>
      </c>
      <c r="K2112">
        <v>19608</v>
      </c>
      <c r="L2112">
        <v>5</v>
      </c>
      <c r="M2112">
        <v>98040</v>
      </c>
      <c r="N2112" t="s">
        <v>18</v>
      </c>
    </row>
    <row r="2113" spans="5:14" x14ac:dyDescent="0.35">
      <c r="E2113" t="s">
        <v>63</v>
      </c>
      <c r="F2113" t="s">
        <v>52</v>
      </c>
      <c r="G2113" t="s">
        <v>48</v>
      </c>
      <c r="H2113" t="s">
        <v>22</v>
      </c>
      <c r="I2113" t="s">
        <v>27</v>
      </c>
      <c r="J2113" t="s">
        <v>28</v>
      </c>
      <c r="K2113">
        <v>18552</v>
      </c>
      <c r="L2113">
        <v>3</v>
      </c>
      <c r="M2113">
        <v>55656</v>
      </c>
      <c r="N2113" t="s">
        <v>16</v>
      </c>
    </row>
  </sheetData>
  <pageMargins left="0.75" right="0.75" top="1" bottom="1" header="0.5" footer="0.5"/>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72169-D14D-48EC-A9BB-6441918F6C38}">
  <dimension ref="E3:H4"/>
  <sheetViews>
    <sheetView topLeftCell="A13" zoomScale="113" workbookViewId="0"/>
  </sheetViews>
  <sheetFormatPr defaultRowHeight="14.5" x14ac:dyDescent="0.35"/>
  <cols>
    <col min="2" max="2" width="17" bestFit="1" customWidth="1"/>
    <col min="3" max="3" width="15.6328125" bestFit="1" customWidth="1"/>
    <col min="4" max="4" width="17.90625" bestFit="1" customWidth="1"/>
    <col min="5" max="5" width="17" bestFit="1" customWidth="1"/>
    <col min="6" max="6" width="14.54296875" bestFit="1" customWidth="1"/>
    <col min="7" max="7" width="18" bestFit="1" customWidth="1"/>
    <col min="8" max="8" width="20.90625" bestFit="1" customWidth="1"/>
  </cols>
  <sheetData>
    <row r="3" spans="5:8" x14ac:dyDescent="0.35">
      <c r="E3" s="3" t="s">
        <v>64</v>
      </c>
      <c r="F3" s="3" t="s">
        <v>65</v>
      </c>
      <c r="G3" s="3" t="s">
        <v>66</v>
      </c>
      <c r="H3" s="3" t="s">
        <v>73</v>
      </c>
    </row>
    <row r="4" spans="5:8" x14ac:dyDescent="0.35">
      <c r="E4" s="13">
        <f>GETPIVOTDATA("Units Sold",PivotTables!$F$18)</f>
        <v>3076799</v>
      </c>
      <c r="F4" s="13">
        <f>GETPIVOTDATA("Revenue (₹)",PivotTables!$F$22)</f>
        <v>6153598</v>
      </c>
      <c r="G4" s="4">
        <f>SUM(F4/E4)</f>
        <v>2</v>
      </c>
      <c r="H4" s="7" t="str">
        <f>PivotTables!N11</f>
        <v>Fruitee Fun (Orange)</v>
      </c>
    </row>
  </sheetData>
  <autoFilter ref="E3:H4" xr:uid="{A2072169-D14D-48EC-A9BB-6441918F6C38}"/>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75F23-716E-4D5C-B398-C2A738ACB928}">
  <dimension ref="F1:O25"/>
  <sheetViews>
    <sheetView zoomScale="64" zoomScaleNormal="100" workbookViewId="0"/>
  </sheetViews>
  <sheetFormatPr defaultRowHeight="14.5" x14ac:dyDescent="0.35"/>
  <cols>
    <col min="6" max="6" width="17.1796875" bestFit="1" customWidth="1"/>
    <col min="7" max="7" width="6.453125" bestFit="1" customWidth="1"/>
    <col min="8" max="8" width="17.1796875" bestFit="1" customWidth="1"/>
    <col min="9" max="9" width="18.453125" bestFit="1" customWidth="1"/>
    <col min="10" max="10" width="17.7265625" bestFit="1" customWidth="1"/>
    <col min="11" max="12" width="10.7265625" bestFit="1" customWidth="1"/>
    <col min="13" max="13" width="13" bestFit="1" customWidth="1"/>
    <col min="14" max="14" width="18.1796875" bestFit="1" customWidth="1"/>
    <col min="15" max="15" width="8" bestFit="1" customWidth="1"/>
    <col min="16" max="16" width="7.81640625" bestFit="1" customWidth="1"/>
    <col min="17" max="2081" width="13" bestFit="1" customWidth="1"/>
    <col min="2082" max="2082" width="10.7265625" bestFit="1" customWidth="1"/>
  </cols>
  <sheetData>
    <row r="1" spans="6:15" x14ac:dyDescent="0.35">
      <c r="F1" s="5" t="s">
        <v>72</v>
      </c>
      <c r="I1" s="5" t="s">
        <v>71</v>
      </c>
      <c r="J1" s="5" t="s">
        <v>3</v>
      </c>
      <c r="N1" s="5" t="s">
        <v>70</v>
      </c>
    </row>
    <row r="2" spans="6:15" x14ac:dyDescent="0.35">
      <c r="F2" s="5" t="s">
        <v>0</v>
      </c>
      <c r="G2" t="s">
        <v>69</v>
      </c>
      <c r="I2" s="5" t="s">
        <v>1</v>
      </c>
      <c r="J2" t="s">
        <v>22</v>
      </c>
      <c r="K2" t="s">
        <v>67</v>
      </c>
      <c r="N2" s="5" t="s">
        <v>4</v>
      </c>
      <c r="O2" t="s">
        <v>69</v>
      </c>
    </row>
    <row r="3" spans="6:15" x14ac:dyDescent="0.35">
      <c r="F3" t="s">
        <v>10</v>
      </c>
      <c r="G3" s="12">
        <v>438444</v>
      </c>
      <c r="I3" t="s">
        <v>39</v>
      </c>
      <c r="J3" s="10">
        <v>294948</v>
      </c>
      <c r="K3" s="10">
        <v>294948</v>
      </c>
      <c r="N3" t="s">
        <v>23</v>
      </c>
      <c r="O3" s="6">
        <v>1</v>
      </c>
    </row>
    <row r="4" spans="6:15" x14ac:dyDescent="0.35">
      <c r="F4" t="s">
        <v>53</v>
      </c>
      <c r="G4" s="12">
        <v>434548</v>
      </c>
      <c r="I4" t="s">
        <v>46</v>
      </c>
      <c r="J4" s="10">
        <v>244718</v>
      </c>
      <c r="K4" s="10">
        <v>244718</v>
      </c>
      <c r="N4" t="s">
        <v>67</v>
      </c>
      <c r="O4" s="6">
        <v>1</v>
      </c>
    </row>
    <row r="5" spans="6:15" x14ac:dyDescent="0.35">
      <c r="F5" t="s">
        <v>54</v>
      </c>
      <c r="G5" s="12">
        <v>429634</v>
      </c>
      <c r="I5" t="s">
        <v>44</v>
      </c>
      <c r="J5" s="10">
        <v>273800</v>
      </c>
      <c r="K5" s="10">
        <v>273800</v>
      </c>
    </row>
    <row r="6" spans="6:15" x14ac:dyDescent="0.35">
      <c r="F6" t="s">
        <v>55</v>
      </c>
      <c r="G6" s="12">
        <v>441136</v>
      </c>
      <c r="I6" t="s">
        <v>11</v>
      </c>
      <c r="J6" s="10">
        <v>313028</v>
      </c>
      <c r="K6" s="10">
        <v>313028</v>
      </c>
    </row>
    <row r="7" spans="6:15" x14ac:dyDescent="0.35">
      <c r="F7" t="s">
        <v>56</v>
      </c>
      <c r="G7" s="12">
        <v>583010</v>
      </c>
      <c r="I7" t="s">
        <v>52</v>
      </c>
      <c r="J7" s="10">
        <v>320364</v>
      </c>
      <c r="K7" s="10">
        <v>320364</v>
      </c>
    </row>
    <row r="8" spans="6:15" x14ac:dyDescent="0.35">
      <c r="F8" t="s">
        <v>57</v>
      </c>
      <c r="G8" s="12">
        <v>575508</v>
      </c>
      <c r="I8" t="s">
        <v>49</v>
      </c>
      <c r="J8" s="10">
        <v>284178</v>
      </c>
      <c r="K8" s="10">
        <v>284178</v>
      </c>
    </row>
    <row r="9" spans="6:15" x14ac:dyDescent="0.35">
      <c r="F9" t="s">
        <v>58</v>
      </c>
      <c r="G9" s="12">
        <v>451838</v>
      </c>
      <c r="I9" t="s">
        <v>29</v>
      </c>
      <c r="J9" s="10">
        <v>240518</v>
      </c>
      <c r="K9" s="10">
        <v>240518</v>
      </c>
      <c r="N9" s="5" t="s">
        <v>68</v>
      </c>
    </row>
    <row r="10" spans="6:15" x14ac:dyDescent="0.35">
      <c r="F10" t="s">
        <v>59</v>
      </c>
      <c r="G10" s="12">
        <v>430492</v>
      </c>
      <c r="I10" t="s">
        <v>33</v>
      </c>
      <c r="J10" s="10">
        <v>256890</v>
      </c>
      <c r="K10" s="10">
        <v>256890</v>
      </c>
      <c r="N10" s="5" t="s">
        <v>5</v>
      </c>
      <c r="O10" t="s">
        <v>69</v>
      </c>
    </row>
    <row r="11" spans="6:15" x14ac:dyDescent="0.35">
      <c r="F11" t="s">
        <v>60</v>
      </c>
      <c r="G11" s="12">
        <v>443328</v>
      </c>
      <c r="I11" t="s">
        <v>34</v>
      </c>
      <c r="J11" s="10">
        <v>277804</v>
      </c>
      <c r="K11" s="10">
        <v>277804</v>
      </c>
      <c r="N11" t="s">
        <v>25</v>
      </c>
      <c r="O11">
        <v>6153598</v>
      </c>
    </row>
    <row r="12" spans="6:15" x14ac:dyDescent="0.35">
      <c r="F12" t="s">
        <v>61</v>
      </c>
      <c r="G12" s="12">
        <v>663648</v>
      </c>
      <c r="I12" t="s">
        <v>45</v>
      </c>
      <c r="J12" s="10">
        <v>292808</v>
      </c>
      <c r="K12" s="10">
        <v>292808</v>
      </c>
      <c r="N12" t="s">
        <v>67</v>
      </c>
      <c r="O12" s="9">
        <v>6153598</v>
      </c>
    </row>
    <row r="13" spans="6:15" x14ac:dyDescent="0.35">
      <c r="F13" t="s">
        <v>62</v>
      </c>
      <c r="G13" s="12">
        <v>608802</v>
      </c>
      <c r="I13" t="s">
        <v>35</v>
      </c>
      <c r="J13" s="10">
        <v>305482</v>
      </c>
      <c r="K13" s="10">
        <v>305482</v>
      </c>
    </row>
    <row r="14" spans="6:15" x14ac:dyDescent="0.35">
      <c r="F14" t="s">
        <v>63</v>
      </c>
      <c r="G14" s="12">
        <v>653210</v>
      </c>
      <c r="I14" t="s">
        <v>37</v>
      </c>
      <c r="J14" s="10">
        <v>268864</v>
      </c>
      <c r="K14" s="10">
        <v>268864</v>
      </c>
    </row>
    <row r="15" spans="6:15" x14ac:dyDescent="0.35">
      <c r="F15" t="s">
        <v>67</v>
      </c>
      <c r="G15" s="12">
        <v>6153598</v>
      </c>
      <c r="I15" t="s">
        <v>51</v>
      </c>
      <c r="J15" s="10">
        <v>292160</v>
      </c>
      <c r="K15" s="10">
        <v>292160</v>
      </c>
    </row>
    <row r="16" spans="6:15" x14ac:dyDescent="0.35">
      <c r="F16" s="5" t="s">
        <v>3</v>
      </c>
      <c r="G16" t="s">
        <v>74</v>
      </c>
      <c r="I16" t="s">
        <v>47</v>
      </c>
      <c r="J16" s="10">
        <v>314984</v>
      </c>
      <c r="K16" s="10">
        <v>314984</v>
      </c>
    </row>
    <row r="17" spans="6:11" x14ac:dyDescent="0.35">
      <c r="I17" t="s">
        <v>43</v>
      </c>
      <c r="J17" s="10">
        <v>264390</v>
      </c>
      <c r="K17" s="10">
        <v>264390</v>
      </c>
    </row>
    <row r="18" spans="6:11" x14ac:dyDescent="0.35">
      <c r="F18" s="5" t="s">
        <v>75</v>
      </c>
      <c r="G18" t="s">
        <v>69</v>
      </c>
      <c r="I18" t="s">
        <v>30</v>
      </c>
      <c r="J18" s="10">
        <v>292790</v>
      </c>
      <c r="K18" s="10">
        <v>292790</v>
      </c>
    </row>
    <row r="19" spans="6:11" x14ac:dyDescent="0.35">
      <c r="F19" t="s">
        <v>69</v>
      </c>
      <c r="G19" s="12">
        <v>3076799</v>
      </c>
      <c r="I19" t="s">
        <v>50</v>
      </c>
      <c r="J19" s="10">
        <v>265196</v>
      </c>
      <c r="K19" s="10">
        <v>265196</v>
      </c>
    </row>
    <row r="20" spans="6:11" x14ac:dyDescent="0.35">
      <c r="I20" t="s">
        <v>38</v>
      </c>
      <c r="J20" s="10">
        <v>282368</v>
      </c>
      <c r="K20" s="10">
        <v>282368</v>
      </c>
    </row>
    <row r="21" spans="6:11" x14ac:dyDescent="0.35">
      <c r="I21" t="s">
        <v>40</v>
      </c>
      <c r="J21" s="10">
        <v>260860</v>
      </c>
      <c r="K21" s="10">
        <v>260860</v>
      </c>
    </row>
    <row r="22" spans="6:11" x14ac:dyDescent="0.35">
      <c r="F22" s="5" t="s">
        <v>68</v>
      </c>
      <c r="G22" t="s">
        <v>69</v>
      </c>
      <c r="I22" t="s">
        <v>31</v>
      </c>
      <c r="J22" s="10">
        <v>267762</v>
      </c>
      <c r="K22" s="10">
        <v>267762</v>
      </c>
    </row>
    <row r="23" spans="6:11" x14ac:dyDescent="0.35">
      <c r="F23" t="s">
        <v>69</v>
      </c>
      <c r="G23" s="12">
        <v>6153598</v>
      </c>
      <c r="I23" t="s">
        <v>32</v>
      </c>
      <c r="J23" s="10">
        <v>258540</v>
      </c>
      <c r="K23" s="10">
        <v>258540</v>
      </c>
    </row>
    <row r="24" spans="6:11" x14ac:dyDescent="0.35">
      <c r="I24" t="s">
        <v>41</v>
      </c>
      <c r="J24" s="10">
        <v>281146</v>
      </c>
      <c r="K24" s="10">
        <v>281146</v>
      </c>
    </row>
    <row r="25" spans="6:11" x14ac:dyDescent="0.35">
      <c r="I25" t="s">
        <v>67</v>
      </c>
      <c r="J25" s="9">
        <v>6153598</v>
      </c>
      <c r="K25" s="9">
        <v>6153598</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9CB8D-F637-4F5D-AEE7-E1C68F20C8AB}">
  <dimension ref="A1:W37"/>
  <sheetViews>
    <sheetView showGridLines="0" showRowColHeaders="0" tabSelected="1" topLeftCell="A9" zoomScale="98" workbookViewId="0">
      <extLst>
        <ext xmlns:xlsdti="http://schemas.microsoft.com/office/spreadsheetml/2023/showDataTypeIcons" uri="{77bfe23e-c014-4d31-8a63-9c772dbf06b6}">
          <xlsdti:showDataTypeIcons visible="0"/>
        </ext>
      </extLst>
    </sheetView>
  </sheetViews>
  <sheetFormatPr defaultRowHeight="14.5" x14ac:dyDescent="0.35"/>
  <cols>
    <col min="18" max="18" width="17.26953125" bestFit="1" customWidth="1"/>
  </cols>
  <sheetData>
    <row r="1" spans="1:23" x14ac:dyDescent="0.35">
      <c r="A1" s="2"/>
      <c r="B1" s="2"/>
      <c r="C1" s="2"/>
      <c r="D1" s="2"/>
      <c r="E1" s="2"/>
      <c r="F1" s="2"/>
      <c r="G1" s="2"/>
      <c r="H1" s="2"/>
      <c r="I1" s="2"/>
      <c r="J1" s="2"/>
      <c r="K1" s="2"/>
      <c r="L1" s="2"/>
      <c r="M1" s="2"/>
      <c r="N1" s="2"/>
      <c r="O1" s="2"/>
      <c r="P1" s="2"/>
      <c r="Q1" s="2"/>
      <c r="R1" s="2"/>
      <c r="S1" s="2"/>
      <c r="T1" s="2"/>
      <c r="U1" s="2"/>
      <c r="V1" s="2"/>
      <c r="W1" s="2"/>
    </row>
    <row r="2" spans="1:23" x14ac:dyDescent="0.35">
      <c r="A2" s="2"/>
      <c r="B2" s="2"/>
      <c r="C2" s="2"/>
      <c r="D2" s="2"/>
      <c r="E2" s="2"/>
      <c r="F2" s="2"/>
      <c r="G2" s="2"/>
      <c r="H2" s="2"/>
      <c r="I2" s="2"/>
      <c r="J2" s="2"/>
      <c r="K2" s="2"/>
      <c r="L2" s="2"/>
      <c r="M2" s="2"/>
      <c r="N2" s="2"/>
      <c r="O2" s="2"/>
      <c r="P2" s="2"/>
      <c r="Q2" s="2"/>
      <c r="R2" s="2"/>
      <c r="S2" s="2"/>
      <c r="T2" s="2"/>
      <c r="U2" s="2"/>
      <c r="V2" s="2"/>
      <c r="W2" s="2"/>
    </row>
    <row r="3" spans="1:23" x14ac:dyDescent="0.35">
      <c r="A3" s="2"/>
      <c r="B3" s="2"/>
      <c r="C3" s="2"/>
      <c r="D3" s="2"/>
      <c r="E3" s="2"/>
      <c r="F3" s="2"/>
      <c r="G3" s="2"/>
      <c r="H3" s="2"/>
      <c r="I3" s="2"/>
      <c r="J3" s="2"/>
      <c r="K3" s="2"/>
      <c r="L3" s="2"/>
      <c r="M3" s="2"/>
      <c r="N3" s="2"/>
      <c r="O3" s="2"/>
      <c r="P3" s="2"/>
      <c r="Q3" s="2"/>
      <c r="R3" s="2"/>
      <c r="S3" s="2"/>
      <c r="T3" s="2"/>
      <c r="U3" s="2"/>
      <c r="V3" s="2"/>
      <c r="W3" s="2"/>
    </row>
    <row r="4" spans="1:23" x14ac:dyDescent="0.35">
      <c r="A4" s="2"/>
      <c r="B4" s="2"/>
      <c r="C4" s="2"/>
      <c r="D4" s="2"/>
      <c r="E4" s="2"/>
      <c r="F4" s="2"/>
      <c r="G4" s="2"/>
      <c r="H4" s="2"/>
      <c r="I4" s="2"/>
      <c r="J4" s="2"/>
      <c r="K4" s="2"/>
      <c r="L4" s="2"/>
      <c r="M4" s="2"/>
      <c r="N4" s="2"/>
      <c r="O4" s="2"/>
      <c r="P4" s="2"/>
      <c r="Q4" s="2"/>
      <c r="R4" s="2"/>
      <c r="S4" s="2"/>
      <c r="T4" s="2"/>
      <c r="U4" s="2"/>
      <c r="V4" s="2"/>
      <c r="W4" s="2"/>
    </row>
    <row r="5" spans="1:23" x14ac:dyDescent="0.35">
      <c r="A5" s="2"/>
      <c r="B5" s="2"/>
      <c r="C5" s="2"/>
      <c r="D5" s="2"/>
      <c r="E5" s="2"/>
      <c r="F5" s="2"/>
      <c r="G5" s="2"/>
      <c r="H5" s="2"/>
      <c r="I5" s="2"/>
      <c r="J5" s="2"/>
      <c r="K5" s="2"/>
      <c r="L5" s="2"/>
      <c r="M5" s="2"/>
      <c r="N5" s="2"/>
      <c r="O5" s="2"/>
      <c r="P5" s="2"/>
      <c r="Q5" s="2"/>
      <c r="R5" s="2"/>
      <c r="S5" s="2"/>
      <c r="T5" s="2"/>
      <c r="U5" s="2"/>
      <c r="V5" s="2"/>
      <c r="W5" s="2"/>
    </row>
    <row r="6" spans="1:23" x14ac:dyDescent="0.35">
      <c r="A6" s="2"/>
      <c r="B6" s="2"/>
      <c r="C6" s="2"/>
      <c r="D6" s="2"/>
      <c r="E6" s="2"/>
      <c r="F6" s="2"/>
      <c r="G6" s="2"/>
      <c r="H6" s="2"/>
      <c r="I6" s="2"/>
      <c r="J6" s="2"/>
      <c r="K6" s="2"/>
      <c r="L6" s="2"/>
      <c r="M6" s="2"/>
      <c r="N6" s="2"/>
      <c r="O6" s="2"/>
      <c r="P6" s="2"/>
      <c r="Q6" s="2"/>
      <c r="R6" s="2"/>
      <c r="S6" s="2"/>
      <c r="T6" s="2"/>
      <c r="U6" s="2"/>
      <c r="V6" s="2"/>
      <c r="W6" s="2"/>
    </row>
    <row r="7" spans="1:23" x14ac:dyDescent="0.35">
      <c r="A7" s="2"/>
      <c r="B7" s="2"/>
      <c r="C7" s="2"/>
      <c r="D7" s="2"/>
      <c r="E7" s="2"/>
      <c r="F7" s="2"/>
      <c r="G7" s="2"/>
      <c r="H7" s="2"/>
      <c r="I7" s="2"/>
      <c r="J7" s="2"/>
      <c r="K7" s="2"/>
      <c r="L7" s="2"/>
      <c r="M7" s="2"/>
      <c r="N7" s="2"/>
      <c r="O7" s="2"/>
      <c r="P7" s="2"/>
      <c r="Q7" s="2"/>
      <c r="R7" s="2"/>
      <c r="S7" s="2"/>
      <c r="T7" s="2"/>
      <c r="U7" s="2"/>
      <c r="V7" s="2"/>
      <c r="W7" s="2"/>
    </row>
    <row r="8" spans="1:23" x14ac:dyDescent="0.35">
      <c r="A8" s="2"/>
      <c r="B8" s="2"/>
      <c r="C8" s="2"/>
      <c r="D8" s="2"/>
      <c r="E8" s="2"/>
      <c r="F8" s="2"/>
      <c r="G8" s="2"/>
      <c r="H8" s="2"/>
      <c r="I8" s="2"/>
      <c r="J8" s="2"/>
      <c r="K8" s="2"/>
      <c r="L8" s="2"/>
      <c r="M8" s="2"/>
      <c r="N8" s="2"/>
      <c r="O8" s="2"/>
      <c r="P8" s="2"/>
      <c r="Q8" s="2"/>
      <c r="R8" s="2"/>
      <c r="S8" s="2"/>
      <c r="T8" s="2"/>
      <c r="U8" s="2"/>
      <c r="V8" s="2"/>
      <c r="W8" s="2"/>
    </row>
    <row r="9" spans="1:23" x14ac:dyDescent="0.35">
      <c r="A9" s="2"/>
      <c r="B9" s="2"/>
      <c r="C9" s="2"/>
      <c r="D9" s="2"/>
      <c r="E9" s="2"/>
      <c r="F9" s="2"/>
      <c r="G9" s="2"/>
      <c r="H9" s="2"/>
      <c r="I9" s="2"/>
      <c r="J9" s="2"/>
      <c r="K9" s="2"/>
      <c r="L9" s="2"/>
      <c r="M9" s="2"/>
      <c r="N9" s="2"/>
      <c r="O9" s="2"/>
      <c r="P9" s="2"/>
      <c r="Q9" s="2"/>
      <c r="R9" s="2"/>
      <c r="S9" s="2"/>
      <c r="T9" s="2"/>
      <c r="U9" s="2"/>
      <c r="V9" s="2"/>
      <c r="W9" s="2"/>
    </row>
    <row r="10" spans="1:23" x14ac:dyDescent="0.35">
      <c r="A10" s="2"/>
      <c r="B10" s="2"/>
      <c r="C10" s="2"/>
      <c r="D10" s="2"/>
      <c r="E10" s="2"/>
      <c r="F10" s="2"/>
      <c r="G10" s="2"/>
      <c r="H10" s="2"/>
      <c r="I10" s="2"/>
      <c r="J10" s="2"/>
      <c r="K10" s="2"/>
      <c r="L10" s="2"/>
      <c r="M10" s="2"/>
      <c r="N10" s="2"/>
      <c r="O10" s="2"/>
      <c r="P10" s="2"/>
      <c r="Q10" s="2"/>
      <c r="R10" s="2"/>
      <c r="S10" s="2"/>
      <c r="T10" s="2"/>
      <c r="U10" s="2"/>
      <c r="V10" s="2"/>
      <c r="W10" s="2"/>
    </row>
    <row r="11" spans="1:23" x14ac:dyDescent="0.35">
      <c r="A11" s="2"/>
      <c r="B11" s="2"/>
      <c r="C11" s="2"/>
      <c r="D11" s="2"/>
      <c r="E11" s="2"/>
      <c r="F11" s="2"/>
      <c r="G11" s="2"/>
      <c r="H11" s="2"/>
      <c r="I11" s="2"/>
      <c r="J11" s="2"/>
      <c r="K11" s="2"/>
      <c r="L11" s="2"/>
      <c r="M11" s="2"/>
      <c r="N11" s="2"/>
      <c r="O11" s="2"/>
      <c r="P11" s="2"/>
      <c r="Q11" s="2"/>
      <c r="R11" s="2"/>
      <c r="S11" s="2"/>
      <c r="T11" s="2"/>
      <c r="U11" s="2"/>
      <c r="V11" s="2"/>
      <c r="W11" s="2"/>
    </row>
    <row r="12" spans="1:23" x14ac:dyDescent="0.35">
      <c r="A12" s="2"/>
      <c r="B12" s="2"/>
      <c r="C12" s="2"/>
      <c r="D12" s="2"/>
      <c r="E12" s="2"/>
      <c r="F12" s="2"/>
      <c r="G12" s="2"/>
      <c r="H12" s="2"/>
      <c r="I12" s="2"/>
      <c r="J12" s="2"/>
      <c r="K12" s="2"/>
      <c r="L12" s="2"/>
      <c r="M12" s="2"/>
      <c r="N12" s="2"/>
      <c r="O12" s="2"/>
      <c r="P12" s="2"/>
      <c r="Q12" s="2"/>
      <c r="R12" s="2"/>
      <c r="S12" s="2"/>
      <c r="T12" s="2"/>
      <c r="U12" s="2"/>
      <c r="V12" s="2"/>
      <c r="W12" s="2"/>
    </row>
    <row r="13" spans="1:23" x14ac:dyDescent="0.35">
      <c r="A13" s="2"/>
      <c r="B13" s="2"/>
      <c r="C13" s="2"/>
      <c r="D13" s="2"/>
      <c r="E13" s="2"/>
      <c r="F13" s="2"/>
      <c r="G13" s="2"/>
      <c r="H13" s="2"/>
      <c r="I13" s="2"/>
      <c r="J13" s="2"/>
      <c r="K13" s="2"/>
      <c r="L13" s="2"/>
      <c r="M13" s="2"/>
      <c r="N13" s="2"/>
      <c r="O13" s="2"/>
      <c r="P13" s="2"/>
      <c r="Q13" s="2"/>
      <c r="R13" s="2"/>
      <c r="S13" s="2"/>
      <c r="T13" s="2"/>
      <c r="U13" s="2"/>
      <c r="V13" s="2"/>
      <c r="W13" s="2"/>
    </row>
    <row r="14" spans="1:23" x14ac:dyDescent="0.35">
      <c r="A14" s="2"/>
      <c r="B14" s="2"/>
      <c r="C14" s="2"/>
      <c r="D14" s="2"/>
      <c r="E14" s="2"/>
      <c r="F14" s="2"/>
      <c r="G14" s="2"/>
      <c r="H14" s="2"/>
      <c r="I14" s="2"/>
      <c r="J14" s="2"/>
      <c r="K14" s="2"/>
      <c r="L14" s="2"/>
      <c r="M14" s="2"/>
      <c r="N14" s="2"/>
      <c r="O14" s="2"/>
      <c r="P14" s="2"/>
      <c r="Q14" s="2"/>
      <c r="R14" s="2"/>
      <c r="S14" s="2"/>
      <c r="T14" s="2"/>
      <c r="U14" s="2"/>
      <c r="V14" s="2"/>
      <c r="W14" s="2"/>
    </row>
    <row r="15" spans="1:23" x14ac:dyDescent="0.35">
      <c r="A15" s="2"/>
      <c r="B15" s="2"/>
      <c r="C15" s="2"/>
      <c r="D15" s="2"/>
      <c r="E15" s="2"/>
      <c r="F15" s="2"/>
      <c r="G15" s="2"/>
      <c r="H15" s="2"/>
      <c r="I15" s="2"/>
      <c r="J15" s="2"/>
      <c r="K15" s="2"/>
      <c r="L15" s="2"/>
      <c r="M15" s="2"/>
      <c r="N15" s="2"/>
      <c r="O15" s="2"/>
      <c r="P15" s="2"/>
      <c r="Q15" s="2"/>
      <c r="R15" s="2"/>
      <c r="S15" s="2"/>
      <c r="T15" s="2"/>
      <c r="U15" s="2"/>
      <c r="V15" s="2"/>
      <c r="W15" s="2"/>
    </row>
    <row r="16" spans="1:23" x14ac:dyDescent="0.35">
      <c r="A16" s="2"/>
      <c r="B16" s="2"/>
      <c r="C16" s="2"/>
      <c r="D16" s="2"/>
      <c r="E16" s="2"/>
      <c r="F16" s="2"/>
      <c r="G16" s="2"/>
      <c r="H16" s="2"/>
      <c r="I16" s="2"/>
      <c r="J16" s="2"/>
      <c r="K16" s="2"/>
      <c r="L16" s="2"/>
      <c r="M16" s="2"/>
      <c r="N16" s="2"/>
      <c r="O16" s="2"/>
      <c r="P16" s="2"/>
      <c r="Q16" s="2"/>
      <c r="R16" s="2"/>
      <c r="S16" s="2"/>
      <c r="T16" s="2"/>
      <c r="U16" s="2"/>
      <c r="V16" s="2"/>
      <c r="W16" s="2"/>
    </row>
    <row r="17" spans="1:23" x14ac:dyDescent="0.35">
      <c r="A17" s="2"/>
      <c r="B17" s="2"/>
      <c r="C17" s="2"/>
      <c r="D17" s="2"/>
      <c r="E17" s="2"/>
      <c r="F17" s="2"/>
      <c r="G17" s="2"/>
      <c r="H17" s="2"/>
      <c r="I17" s="2"/>
      <c r="J17" s="2"/>
      <c r="K17" s="2"/>
      <c r="L17" s="2"/>
      <c r="M17" s="2"/>
      <c r="N17" s="2"/>
      <c r="O17" s="2"/>
      <c r="P17" s="2"/>
      <c r="Q17" s="2"/>
      <c r="R17" s="2"/>
      <c r="S17" s="2"/>
      <c r="T17" s="2"/>
      <c r="U17" s="2"/>
      <c r="V17" s="2"/>
      <c r="W17" s="2"/>
    </row>
    <row r="18" spans="1:23" x14ac:dyDescent="0.35">
      <c r="A18" s="2"/>
      <c r="B18" s="2"/>
      <c r="C18" s="2"/>
      <c r="D18" s="2"/>
      <c r="E18" s="2"/>
      <c r="F18" s="2"/>
      <c r="G18" s="2"/>
      <c r="H18" s="2"/>
      <c r="I18" s="2"/>
      <c r="J18" s="2"/>
      <c r="K18" s="2"/>
      <c r="L18" s="2"/>
      <c r="M18" s="2"/>
      <c r="N18" s="2"/>
      <c r="O18" s="2"/>
      <c r="P18" s="2"/>
      <c r="Q18" s="2"/>
      <c r="R18" s="2"/>
      <c r="S18" s="2"/>
      <c r="T18" s="2"/>
      <c r="U18" s="2"/>
      <c r="V18" s="2"/>
      <c r="W18" s="2"/>
    </row>
    <row r="19" spans="1:23" x14ac:dyDescent="0.35">
      <c r="A19" s="2"/>
      <c r="B19" s="2"/>
      <c r="C19" s="2"/>
      <c r="D19" s="2"/>
      <c r="E19" s="2"/>
      <c r="F19" s="2"/>
      <c r="G19" s="2"/>
      <c r="H19" s="2"/>
      <c r="I19" s="2"/>
      <c r="J19" s="2"/>
      <c r="K19" s="2"/>
      <c r="L19" s="2"/>
      <c r="M19" s="2"/>
      <c r="N19" s="2"/>
      <c r="O19" s="2"/>
      <c r="P19" s="2"/>
      <c r="Q19" s="2"/>
      <c r="R19" s="2"/>
      <c r="S19" s="2"/>
      <c r="T19" s="2"/>
      <c r="U19" s="2"/>
      <c r="V19" s="2"/>
      <c r="W19" s="2"/>
    </row>
    <row r="20" spans="1:23" x14ac:dyDescent="0.35">
      <c r="A20" s="2"/>
      <c r="B20" s="2"/>
      <c r="C20" s="2"/>
      <c r="D20" s="2"/>
      <c r="E20" s="2"/>
      <c r="F20" s="2"/>
      <c r="G20" s="2"/>
      <c r="H20" s="2"/>
      <c r="I20" s="2"/>
      <c r="J20" s="2"/>
      <c r="K20" s="2"/>
      <c r="L20" s="2"/>
      <c r="M20" s="2"/>
      <c r="N20" s="2"/>
      <c r="O20" s="2"/>
      <c r="P20" s="2"/>
      <c r="Q20" s="2"/>
      <c r="R20" s="2"/>
      <c r="S20" s="2"/>
      <c r="T20" s="2"/>
      <c r="U20" s="2"/>
      <c r="V20" s="2"/>
      <c r="W20" s="2"/>
    </row>
    <row r="21" spans="1:23" x14ac:dyDescent="0.35">
      <c r="A21" s="2"/>
      <c r="B21" s="2"/>
      <c r="C21" s="2"/>
      <c r="D21" s="2"/>
      <c r="E21" s="2"/>
      <c r="F21" s="2"/>
      <c r="G21" s="2"/>
      <c r="H21" s="2"/>
      <c r="I21" s="2"/>
      <c r="J21" s="2"/>
      <c r="K21" s="2"/>
      <c r="L21" s="2"/>
      <c r="M21" s="2"/>
      <c r="N21" s="2"/>
      <c r="O21" s="2"/>
      <c r="P21" s="2"/>
      <c r="Q21" s="2"/>
      <c r="R21" s="2"/>
      <c r="S21" s="2"/>
      <c r="T21" s="2"/>
      <c r="U21" s="2"/>
      <c r="V21" s="2"/>
      <c r="W21" s="2"/>
    </row>
    <row r="22" spans="1:23" x14ac:dyDescent="0.35">
      <c r="A22" s="2"/>
      <c r="B22" s="2"/>
      <c r="C22" s="2"/>
      <c r="D22" s="2"/>
      <c r="E22" s="2"/>
      <c r="F22" s="2"/>
      <c r="G22" s="2"/>
      <c r="H22" s="2"/>
      <c r="I22" s="2"/>
      <c r="J22" s="2"/>
      <c r="K22" s="2"/>
      <c r="L22" s="2"/>
      <c r="M22" s="2"/>
      <c r="N22" s="2"/>
      <c r="O22" s="2"/>
      <c r="P22" s="2"/>
      <c r="Q22" s="2"/>
      <c r="R22" s="2"/>
      <c r="S22" s="2"/>
      <c r="T22" s="2"/>
      <c r="U22" s="2"/>
      <c r="V22" s="2"/>
      <c r="W22" s="2"/>
    </row>
    <row r="23" spans="1:23" x14ac:dyDescent="0.35">
      <c r="A23" s="2"/>
      <c r="B23" s="2"/>
      <c r="C23" s="2"/>
      <c r="D23" s="2"/>
      <c r="E23" s="2"/>
      <c r="F23" s="2"/>
      <c r="G23" s="2"/>
      <c r="H23" s="2"/>
      <c r="I23" s="2"/>
      <c r="J23" s="2"/>
      <c r="K23" s="2"/>
      <c r="L23" s="2"/>
      <c r="M23" s="2"/>
      <c r="N23" s="2"/>
      <c r="O23" s="2"/>
      <c r="P23" s="2"/>
      <c r="Q23" s="2"/>
      <c r="R23" s="2"/>
      <c r="S23" s="2"/>
      <c r="T23" s="2"/>
      <c r="U23" s="2"/>
      <c r="V23" s="2"/>
      <c r="W23" s="2"/>
    </row>
    <row r="24" spans="1:23" x14ac:dyDescent="0.35">
      <c r="A24" s="2"/>
      <c r="B24" s="2"/>
      <c r="C24" s="2"/>
      <c r="D24" s="2"/>
      <c r="E24" s="2"/>
      <c r="F24" s="2"/>
      <c r="G24" s="2"/>
      <c r="H24" s="2"/>
      <c r="I24" s="2"/>
      <c r="J24" s="2"/>
      <c r="K24" s="2"/>
      <c r="L24" s="2"/>
      <c r="M24" s="2"/>
      <c r="N24" s="2"/>
      <c r="O24" s="2"/>
      <c r="P24" s="2"/>
      <c r="Q24" s="2"/>
      <c r="R24" s="2"/>
      <c r="S24" s="2"/>
      <c r="T24" s="2"/>
      <c r="U24" s="2"/>
      <c r="V24" s="2"/>
      <c r="W24" s="2"/>
    </row>
    <row r="25" spans="1:23" x14ac:dyDescent="0.35">
      <c r="A25" s="2"/>
      <c r="B25" s="2"/>
      <c r="C25" s="2"/>
      <c r="D25" s="2"/>
      <c r="E25" s="2"/>
      <c r="F25" s="2"/>
      <c r="G25" s="2"/>
      <c r="H25" s="2"/>
      <c r="I25" s="2"/>
      <c r="J25" s="2"/>
      <c r="K25" s="2"/>
      <c r="L25" s="2"/>
      <c r="M25" s="2"/>
      <c r="N25" s="2"/>
      <c r="O25" s="2"/>
      <c r="P25" s="2"/>
      <c r="Q25" s="2"/>
      <c r="R25" s="2"/>
      <c r="S25" s="2"/>
      <c r="T25" s="2"/>
      <c r="U25" s="2"/>
      <c r="V25" s="2"/>
      <c r="W25" s="2"/>
    </row>
    <row r="26" spans="1:23" x14ac:dyDescent="0.35">
      <c r="A26" s="2"/>
      <c r="B26" s="2"/>
      <c r="C26" s="2"/>
      <c r="D26" s="2"/>
      <c r="E26" s="2"/>
      <c r="F26" s="2"/>
      <c r="G26" s="2"/>
      <c r="H26" s="2"/>
      <c r="I26" s="2"/>
      <c r="J26" s="2"/>
      <c r="K26" s="2"/>
      <c r="L26" s="2"/>
      <c r="M26" s="2"/>
      <c r="N26" s="2"/>
      <c r="O26" s="2"/>
      <c r="P26" s="2"/>
      <c r="Q26" s="2"/>
      <c r="R26" s="11"/>
      <c r="S26" s="2"/>
      <c r="T26" s="2"/>
      <c r="U26" s="2"/>
      <c r="V26" s="2"/>
      <c r="W26" s="2"/>
    </row>
    <row r="27" spans="1:23" x14ac:dyDescent="0.35">
      <c r="A27" s="2"/>
      <c r="B27" s="2"/>
      <c r="C27" s="2"/>
      <c r="D27" s="2"/>
      <c r="E27" s="2"/>
      <c r="F27" s="2"/>
      <c r="G27" s="2"/>
      <c r="H27" s="2"/>
      <c r="I27" s="2"/>
      <c r="J27" s="2"/>
      <c r="K27" s="2"/>
      <c r="L27" s="2"/>
      <c r="M27" s="2"/>
      <c r="N27" s="2"/>
      <c r="O27" s="2"/>
      <c r="P27" s="2"/>
      <c r="Q27" s="2"/>
      <c r="R27" s="2"/>
      <c r="S27" s="2"/>
      <c r="T27" s="2"/>
      <c r="U27" s="2"/>
      <c r="V27" s="2"/>
      <c r="W27" s="2"/>
    </row>
    <row r="28" spans="1:23" x14ac:dyDescent="0.35">
      <c r="A28" s="2"/>
      <c r="B28" s="2"/>
      <c r="C28" s="2"/>
      <c r="D28" s="2"/>
      <c r="E28" s="2"/>
      <c r="F28" s="2"/>
      <c r="G28" s="2"/>
      <c r="H28" s="2"/>
      <c r="I28" s="2"/>
      <c r="J28" s="2"/>
      <c r="K28" s="2"/>
      <c r="L28" s="2"/>
      <c r="M28" s="2"/>
      <c r="N28" s="2"/>
      <c r="O28" s="2"/>
      <c r="P28" s="2"/>
      <c r="Q28" s="2"/>
      <c r="R28" s="11"/>
      <c r="S28" s="2"/>
      <c r="T28" s="2"/>
      <c r="U28" s="2"/>
      <c r="V28" s="2"/>
      <c r="W28" s="2"/>
    </row>
    <row r="29" spans="1:23" x14ac:dyDescent="0.35">
      <c r="A29" s="2"/>
      <c r="B29" s="2"/>
      <c r="C29" s="2"/>
      <c r="D29" s="2"/>
      <c r="E29" s="2"/>
      <c r="F29" s="2"/>
      <c r="G29" s="2"/>
      <c r="H29" s="2"/>
      <c r="I29" s="2"/>
      <c r="J29" s="2"/>
      <c r="K29" s="2"/>
      <c r="L29" s="2"/>
      <c r="M29" s="2"/>
      <c r="N29" s="2"/>
      <c r="O29" s="2"/>
      <c r="P29" s="2"/>
      <c r="Q29" s="2"/>
      <c r="R29" s="11"/>
      <c r="S29" s="2"/>
      <c r="T29" s="2"/>
      <c r="U29" s="2"/>
      <c r="V29" s="2"/>
      <c r="W29" s="2"/>
    </row>
    <row r="30" spans="1:23" x14ac:dyDescent="0.35">
      <c r="A30" s="2"/>
      <c r="B30" s="2"/>
      <c r="C30" s="2"/>
      <c r="D30" s="2"/>
      <c r="E30" s="2"/>
      <c r="F30" s="2"/>
      <c r="G30" s="2"/>
      <c r="H30" s="2"/>
      <c r="I30" s="2"/>
      <c r="J30" s="2"/>
      <c r="K30" s="2"/>
      <c r="L30" s="2"/>
      <c r="M30" s="2"/>
      <c r="N30" s="2"/>
      <c r="O30" s="2"/>
      <c r="P30" s="2"/>
      <c r="Q30" s="2"/>
      <c r="R30" s="2"/>
      <c r="S30" s="2"/>
      <c r="T30" s="2"/>
      <c r="U30" s="2"/>
      <c r="V30" s="2"/>
      <c r="W30" s="2"/>
    </row>
    <row r="31" spans="1:23" x14ac:dyDescent="0.35">
      <c r="A31" s="2"/>
      <c r="B31" s="2"/>
      <c r="C31" s="2"/>
      <c r="D31" s="2"/>
      <c r="E31" s="2"/>
      <c r="F31" s="2"/>
      <c r="G31" s="2"/>
      <c r="H31" s="2"/>
      <c r="I31" s="2"/>
      <c r="J31" s="2"/>
      <c r="K31" s="2"/>
      <c r="L31" s="2"/>
      <c r="M31" s="2"/>
      <c r="N31" s="2"/>
      <c r="O31" s="2"/>
      <c r="P31" s="2"/>
      <c r="Q31" s="2"/>
      <c r="R31" s="11"/>
      <c r="S31" s="2"/>
      <c r="T31" s="2"/>
      <c r="U31" s="2"/>
      <c r="V31" s="2"/>
      <c r="W31" s="2"/>
    </row>
    <row r="32" spans="1:23" x14ac:dyDescent="0.35">
      <c r="A32" s="2"/>
      <c r="B32" s="2"/>
      <c r="C32" s="2"/>
      <c r="D32" s="2"/>
      <c r="E32" s="2"/>
      <c r="F32" s="2"/>
      <c r="G32" s="2"/>
      <c r="H32" s="2"/>
      <c r="I32" s="2"/>
      <c r="J32" s="2"/>
      <c r="K32" s="2"/>
      <c r="L32" s="2"/>
      <c r="M32" s="2"/>
      <c r="N32" s="2"/>
      <c r="O32" s="2"/>
      <c r="P32" s="2"/>
      <c r="Q32" s="2"/>
      <c r="R32" s="2"/>
      <c r="S32" s="2"/>
      <c r="T32" s="2"/>
      <c r="U32" s="2"/>
      <c r="V32" s="2"/>
      <c r="W32" s="2"/>
    </row>
    <row r="33" spans="1:23" x14ac:dyDescent="0.35">
      <c r="A33" s="2"/>
      <c r="B33" s="2"/>
      <c r="C33" s="2"/>
      <c r="D33" s="2"/>
      <c r="E33" s="2"/>
      <c r="F33" s="2"/>
      <c r="G33" s="2"/>
      <c r="H33" s="2"/>
      <c r="I33" s="2"/>
      <c r="J33" s="2"/>
      <c r="K33" s="2"/>
      <c r="L33" s="2"/>
      <c r="M33" s="2"/>
      <c r="N33" s="2"/>
      <c r="O33" s="2"/>
      <c r="P33" s="2"/>
      <c r="Q33" s="2"/>
      <c r="R33" s="2"/>
      <c r="S33" s="2"/>
      <c r="T33" s="2"/>
      <c r="U33" s="2"/>
      <c r="V33" s="2"/>
      <c r="W33" s="2"/>
    </row>
    <row r="34" spans="1:23" x14ac:dyDescent="0.35">
      <c r="A34" s="2"/>
      <c r="B34" s="2"/>
      <c r="C34" s="2"/>
      <c r="D34" s="2"/>
      <c r="E34" s="2"/>
      <c r="F34" s="2"/>
      <c r="G34" s="2"/>
      <c r="H34" s="2"/>
      <c r="I34" s="2"/>
      <c r="J34" s="2"/>
      <c r="K34" s="2"/>
      <c r="L34" s="2"/>
      <c r="M34" s="2"/>
      <c r="N34" s="2"/>
      <c r="O34" s="2"/>
      <c r="P34" s="2"/>
      <c r="Q34" s="2"/>
      <c r="R34" s="2"/>
      <c r="S34" s="2"/>
      <c r="T34" s="2"/>
      <c r="U34" s="2"/>
      <c r="V34" s="2"/>
      <c r="W34" s="2"/>
    </row>
    <row r="35" spans="1:23" x14ac:dyDescent="0.35">
      <c r="A35" s="2"/>
      <c r="B35" s="2"/>
      <c r="C35" s="2"/>
      <c r="D35" s="2"/>
      <c r="E35" s="2"/>
      <c r="F35" s="2"/>
      <c r="G35" s="2"/>
      <c r="H35" s="2"/>
      <c r="I35" s="2"/>
      <c r="J35" s="2"/>
      <c r="K35" s="2"/>
      <c r="L35" s="2"/>
      <c r="M35" s="2"/>
      <c r="N35" s="2"/>
      <c r="O35" s="2"/>
      <c r="P35" s="2"/>
      <c r="Q35" s="2"/>
      <c r="R35" s="2"/>
      <c r="S35" s="2"/>
      <c r="T35" s="2"/>
      <c r="U35" s="2"/>
      <c r="V35" s="2"/>
      <c r="W35" s="2"/>
    </row>
    <row r="36" spans="1:23" x14ac:dyDescent="0.35">
      <c r="A36" s="2"/>
      <c r="B36" s="2"/>
      <c r="C36" s="2"/>
      <c r="D36" s="2"/>
      <c r="E36" s="2"/>
      <c r="F36" s="2"/>
      <c r="G36" s="2"/>
      <c r="H36" s="2"/>
      <c r="I36" s="2"/>
      <c r="J36" s="2"/>
      <c r="K36" s="2"/>
      <c r="L36" s="2"/>
      <c r="M36" s="2"/>
      <c r="N36" s="2"/>
      <c r="O36" s="2"/>
      <c r="P36" s="2"/>
      <c r="Q36" s="2"/>
      <c r="R36" s="2"/>
      <c r="S36" s="2"/>
      <c r="T36" s="2"/>
      <c r="U36" s="2"/>
      <c r="V36" s="2"/>
      <c r="W36" s="2"/>
    </row>
    <row r="37" spans="1:23" x14ac:dyDescent="0.35">
      <c r="A37" s="2"/>
      <c r="B37" s="2"/>
      <c r="C37" s="2"/>
      <c r="D37" s="2"/>
      <c r="E37" s="2"/>
      <c r="F37" s="2"/>
      <c r="G37" s="2"/>
      <c r="H37" s="2"/>
      <c r="I37" s="2"/>
      <c r="J37" s="2"/>
      <c r="K37" s="2"/>
      <c r="L37" s="2"/>
      <c r="M37" s="2"/>
      <c r="N37" s="2"/>
      <c r="O37" s="2"/>
      <c r="P37" s="2"/>
      <c r="Q37" s="2"/>
      <c r="R37" s="2"/>
      <c r="S37" s="2"/>
      <c r="T37" s="2"/>
      <c r="U37" s="2"/>
      <c r="V37" s="2"/>
      <c r="W37"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Welcome</vt:lpstr>
      <vt:lpstr>DASHBOARD</vt:lpstr>
      <vt:lpstr>Dataset</vt:lpstr>
      <vt:lpstr>KPI'S</vt:lpstr>
      <vt:lpstr>PivotTables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 ry</cp:lastModifiedBy>
  <cp:lastPrinted>2025-12-30T18:38:55Z</cp:lastPrinted>
  <dcterms:created xsi:type="dcterms:W3CDTF">2025-10-31T08:49:22Z</dcterms:created>
  <dcterms:modified xsi:type="dcterms:W3CDTF">2026-08-14T09:05:00Z</dcterms:modified>
</cp:coreProperties>
</file>